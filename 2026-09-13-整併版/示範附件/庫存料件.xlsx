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615d29dc8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物料庫存" sheetId="1" r:id="R128b00541eea41ea"/>
    <x:sheet xmlns:r="http://schemas.openxmlformats.org/officeDocument/2006/relationships" name="用量標準" sheetId="2" r:id="R395a5862b02f44e3"/>
    <x:sheet xmlns:r="http://schemas.openxmlformats.org/officeDocument/2006/relationships" name="在途採購" sheetId="3" r:id="Raab85d018e0b4782"/>
    <x:sheet xmlns:r="http://schemas.openxmlformats.org/officeDocument/2006/relationships" name="工單用料" sheetId="4" r:id="R6685958dc32948fa"/>
    <x:sheet xmlns:r="http://schemas.openxmlformats.org/officeDocument/2006/relationships" name="材料結餘" sheetId="5" r:id="R8288cfc50bb94b55"/>
    <x:sheet xmlns:r="http://schemas.openxmlformats.org/officeDocument/2006/relationships" name="日別領料" sheetId="6" r:id="R6362909b40534cfa"/>
    <x:sheet xmlns:r="http://schemas.openxmlformats.org/officeDocument/2006/relationships" name="日別庫存" sheetId="7" r:id="Rb64f203f738e4f89"/>
    <x:sheet xmlns:r="http://schemas.openxmlformats.org/officeDocument/2006/relationships" name="期初在製成品" sheetId="8" r:id="Ra4ab21a977cc42fe"/>
    <x:sheet xmlns:r="http://schemas.openxmlformats.org/officeDocument/2006/relationships" name="示範假設" sheetId="9" r:id="R2a3514022bc9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yyyy/mm/dd"/>
    <x:numFmt numFmtId="202" formatCode="0.00"/>
  </x:numFmts>
  <x:fonts count="5">
    <x:font>
      <x:sz val="11"/>
      <x:color theme="1"/>
      <x:name val="Calibri"/>
    </x:font>
    <x:font>
      <x:b/>
      <x:color rgb="FFFFFFFF"/>
    </x:font>
    <x:font>
      <x:b/>
      <x:sz val="11"/>
      <x:color rgb="FF223128"/>
      <x:name val="Microsoft JhengHei"/>
    </x:font>
    <x:font>
      <x:sz val="11"/>
      <x:color rgb="FF223128"/>
      <x:name val="Microsoft JhengHei"/>
    </x:font>
    <x:font>
      <x:b/>
      <x:sz val="11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E5A36"/>
      </x:patternFill>
    </x:fill>
    <x:fill>
      <x:patternFill patternType="solid">
        <x:fgColor rgb="FF2E5A36"/>
      </x:patternFill>
    </x:fill>
    <x:fill>
      <x:patternFill patternType="solid">
        <x:fgColor rgb="FF2E5A3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4a12de75e4f2c" /><Relationship Type="http://schemas.openxmlformats.org/officeDocument/2006/relationships/theme" Target="/xl/theme/theme1.xml" Id="R1b18c79f55f94982" /><Relationship Type="http://schemas.openxmlformats.org/officeDocument/2006/relationships/sharedStrings" Target="/xl/sharedStrings.xml" Id="R6848284f32e44cfe" /><Relationship Type="http://schemas.openxmlformats.org/officeDocument/2006/relationships/worksheet" Target="/xl/worksheets/sheet1.xml" Id="R128b00541eea41ea" /><Relationship Type="http://schemas.openxmlformats.org/officeDocument/2006/relationships/worksheet" Target="/xl/worksheets/sheet2.xml" Id="R395a5862b02f44e3" /><Relationship Type="http://schemas.openxmlformats.org/officeDocument/2006/relationships/worksheet" Target="/xl/worksheets/sheet3.xml" Id="Raab85d018e0b4782" /><Relationship Type="http://schemas.openxmlformats.org/officeDocument/2006/relationships/worksheet" Target="/xl/worksheets/sheet4.xml" Id="R6685958dc32948fa" /><Relationship Type="http://schemas.openxmlformats.org/officeDocument/2006/relationships/worksheet" Target="/xl/worksheets/sheet5.xml" Id="R8288cfc50bb94b55" /><Relationship Type="http://schemas.openxmlformats.org/officeDocument/2006/relationships/worksheet" Target="/xl/worksheets/sheet6.xml" Id="R6362909b40534cfa" /><Relationship Type="http://schemas.openxmlformats.org/officeDocument/2006/relationships/worksheet" Target="/xl/worksheets/sheet7.xml" Id="Rb64f203f738e4f89" /><Relationship Type="http://schemas.openxmlformats.org/officeDocument/2006/relationships/worksheet" Target="/xl/worksheets/sheet8.xml" Id="Ra4ab21a977cc42fe" /><Relationship Type="http://schemas.openxmlformats.org/officeDocument/2006/relationships/worksheet" Target="/xl/worksheets/sheet9.xml" Id="R2a3514022bc94a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hidden="0" customWidth="1"/>
    <x:col min="2" max="2" width="22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8" hidden="0" customWidth="1"/>
    <x:col min="8" max="8" width="17" hidden="0" customWidth="1"/>
  </x:cols>
  <x:sheetData>
    <x:row r="1" ht="38" customHeight="1">
      <x:c r="A1" s="17" t="str">
        <x:v>料號</x:v>
      </x:c>
      <x:c r="B1" s="17" t="str">
        <x:v>品名</x:v>
      </x:c>
      <x:c r="C1" s="17" t="str">
        <x:v>規格</x:v>
      </x:c>
      <x:c r="D1" s="17" t="str">
        <x:v>期初kg</x:v>
      </x:c>
      <x:c r="E1" s="17" t="str">
        <x:v>安全kg</x:v>
      </x:c>
      <x:c r="F1" s="17" t="str">
        <x:v>供應商</x:v>
      </x:c>
      <x:c r="G1" s="17" t="str">
        <x:v>前置工作天</x:v>
      </x:c>
      <x:c r="H1" s="17" t="str">
        <x:v>單價元/kg</x:v>
      </x:c>
    </x:row>
    <x:row r="2" ht="30" customHeight="1">
      <x:c r="A2" s="7" t="str">
        <x:v>RM-303-25</x:v>
      </x:c>
      <x:c r="B2" s="7" t="str">
        <x:v>不鏽鋼圓棒</x:v>
      </x:c>
      <x:c r="C2" s="7" t="str">
        <x:v>SUS303 φ25</x:v>
      </x:c>
      <x:c r="D2" s="7" t="n">
        <x:v>420</x:v>
      </x:c>
      <x:c r="E2" s="7" t="n">
        <x:v>200</x:v>
      </x:c>
      <x:c r="F2" s="7" t="str">
        <x:v>中鋼材料</x:v>
      </x:c>
      <x:c r="G2" s="7" t="n">
        <x:v>3</x:v>
      </x:c>
      <x:c r="H2" s="7" t="n">
        <x:v>118</x:v>
      </x:c>
    </x:row>
    <x:row r="3" ht="30" customHeight="1">
      <x:c r="A3" s="7" t="str">
        <x:v>RM-303-30</x:v>
      </x:c>
      <x:c r="B3" s="7" t="str">
        <x:v>不鏽鋼圓棒</x:v>
      </x:c>
      <x:c r="C3" s="7" t="str">
        <x:v>SUS303 φ30</x:v>
      </x:c>
      <x:c r="D3" s="7" t="n">
        <x:v>760</x:v>
      </x:c>
      <x:c r="E3" s="7" t="n">
        <x:v>200</x:v>
      </x:c>
      <x:c r="F3" s="7" t="str">
        <x:v>中鋼材料</x:v>
      </x:c>
      <x:c r="G3" s="7" t="n">
        <x:v>3</x:v>
      </x:c>
      <x:c r="H3" s="7" t="n">
        <x:v>118</x:v>
      </x:c>
    </x:row>
    <x:row r="4" ht="30" customHeight="1">
      <x:c r="A4" s="7" t="str">
        <x:v>RM-304-25</x:v>
      </x:c>
      <x:c r="B4" s="7" t="str">
        <x:v>不鏽鋼圓棒</x:v>
      </x:c>
      <x:c r="C4" s="7" t="str">
        <x:v>SUS304 φ25</x:v>
      </x:c>
      <x:c r="D4" s="7" t="n">
        <x:v>310</x:v>
      </x:c>
      <x:c r="E4" s="7" t="n">
        <x:v>150</x:v>
      </x:c>
      <x:c r="F4" s="7" t="str">
        <x:v>中鋼材料</x:v>
      </x:c>
      <x:c r="G4" s="7" t="n">
        <x:v>3</x:v>
      </x:c>
      <x:c r="H4" s="7" t="n">
        <x:v>126</x:v>
      </x:c>
    </x:row>
    <x:row r="5" ht="30" customHeight="1">
      <x:c r="A5" s="7" t="str">
        <x:v>CH-HC-01</x:v>
      </x:c>
      <x:c r="B5" s="7" t="str">
        <x:v>硬鉻電鍍藥劑</x:v>
      </x:c>
      <x:c r="C5" s="7" t="str">
        <x:v>25kg/桶</x:v>
      </x:c>
      <x:c r="D5" s="7" t="n">
        <x:v>75</x:v>
      </x:c>
      <x:c r="E5" s="7" t="n">
        <x:v>50</x:v>
      </x:c>
      <x:c r="F5" s="7" t="str">
        <x:v>台灣電化</x:v>
      </x:c>
      <x:c r="G5" s="7" t="n">
        <x:v>5</x:v>
      </x:c>
      <x:c r="H5" s="7" t="n">
        <x:v>210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hidden="0" customWidth="1"/>
    <x:col min="2" max="2" width="23" hidden="0" customWidth="1"/>
    <x:col min="3" max="3" width="19" hidden="0" customWidth="1"/>
    <x:col min="4" max="4" width="14" hidden="0" customWidth="1"/>
    <x:col min="5" max="5" width="68" hidden="0" customWidth="1"/>
  </x:cols>
  <x:sheetData>
    <x:row r="1" ht="38" customHeight="1">
      <x:c r="A1" s="17" t="str">
        <x:v>品號</x:v>
      </x:c>
      <x:c r="B1" s="17" t="str">
        <x:v>品名或工序</x:v>
      </x:c>
      <x:c r="C1" s="17" t="str">
        <x:v>料號</x:v>
      </x:c>
      <x:c r="D1" s="17" t="str">
        <x:v>kg/件</x:v>
      </x:c>
      <x:c r="E1" s="17" t="str">
        <x:v>備註</x:v>
      </x:c>
    </x:row>
    <x:row r="2" ht="30" customHeight="1">
      <x:c r="A2" s="7" t="str">
        <x:v>YF-2048</x:v>
      </x:c>
      <x:c r="B2" s="7" t="str">
        <x:v>精密軸套</x:v>
      </x:c>
      <x:c r="C2" s="7" t="str">
        <x:v>RM-303-25</x:v>
      </x:c>
      <x:c r="D2" s="10" t="n">
        <x:v>0.18</x:v>
      </x:c>
      <x:c r="E2" s="7" t="str">
        <x:v>含損耗；外包價含藥劑</x:v>
      </x:c>
    </x:row>
    <x:row r="3" ht="30" customHeight="1">
      <x:c r="A3" s="7" t="str">
        <x:v>DC-1120</x:v>
      </x:c>
      <x:c r="B3" s="7" t="str">
        <x:v>精密軸套</x:v>
      </x:c>
      <x:c r="C3" s="7" t="str">
        <x:v>RM-303-25</x:v>
      </x:c>
      <x:c r="D3" s="10" t="n">
        <x:v>0.17</x:v>
      </x:c>
      <x:c r="E3" s="7" t="str">
        <x:v>本期800件；客訴3件用合格成品</x:v>
      </x:c>
    </x:row>
    <x:row r="4" ht="30" customHeight="1">
      <x:c r="A4" s="7" t="str">
        <x:v>SD-330</x:v>
      </x:c>
      <x:c r="B4" s="7" t="str">
        <x:v>導套</x:v>
      </x:c>
      <x:c r="C4" s="7" t="str">
        <x:v>RM-303-30</x:v>
      </x:c>
      <x:c r="D4" s="10" t="n">
        <x:v>0.26</x:v>
      </x:c>
      <x:c r="E4" s="7" t="str">
        <x:v>本期1,000件</x:v>
      </x:c>
    </x:row>
    <x:row r="5" ht="30" customHeight="1">
      <x:c r="A5" s="7" t="str">
        <x:v>SD-331</x:v>
      </x:c>
      <x:c r="B5" s="7" t="str">
        <x:v>導套</x:v>
      </x:c>
      <x:c r="C5" s="7" t="str">
        <x:v>RM-303-30</x:v>
      </x:c>
      <x:c r="D5" s="10" t="n">
        <x:v>0.22</x:v>
      </x:c>
      <x:c r="E5" s="7" t="str">
        <x:v>本期600件</x:v>
      </x:c>
    </x:row>
    <x:row r="6" ht="30" customHeight="1">
      <x:c r="A6" s="7" t="str">
        <x:v>HD-770</x:v>
      </x:c>
      <x:c r="B6" s="7" t="str">
        <x:v>襯套</x:v>
      </x:c>
      <x:c r="C6" s="7" t="str">
        <x:v>RM-304-25</x:v>
      </x:c>
      <x:c r="D6" s="10" t="n">
        <x:v>0.2</x:v>
      </x:c>
      <x:c r="E6" s="7" t="str">
        <x:v>本期500件</x:v>
      </x:c>
    </x:row>
    <x:row r="7" ht="30" customHeight="1">
      <x:c r="A7" s="7" t="str">
        <x:v>HD-750</x:v>
      </x:c>
      <x:c r="B7" s="7" t="str">
        <x:v>襯套</x:v>
      </x:c>
      <x:c r="C7" s="7" t="str">
        <x:v>RM-304-25</x:v>
      </x:c>
      <x:c r="D7" s="10" t="n">
        <x:v>0.15</x:v>
      </x:c>
      <x:c r="E7" s="7" t="str">
        <x:v>3,200件已領料480kg；不重扣本期期初</x:v>
      </x:c>
    </x:row>
    <x:row r="8" ht="30" customHeight="1">
      <x:c r="A8" s="7" t="str">
        <x:v>SD-330</x:v>
      </x:c>
      <x:c r="B8" s="7" t="str">
        <x:v>內製電鍍藥劑</x:v>
      </x:c>
      <x:c r="C8" s="7" t="str">
        <x:v>CH-HC-01</x:v>
      </x:c>
      <x:c r="D8" s="10" t="n">
        <x:v>0.005</x:v>
      </x:c>
      <x:c r="E8" s="7" t="str">
        <x:v>1,000件</x:v>
      </x:c>
    </x:row>
    <x:row r="9" ht="30" customHeight="1">
      <x:c r="A9" s="7" t="str">
        <x:v>HD-750</x:v>
      </x:c>
      <x:c r="B9" s="7" t="str">
        <x:v>內製電鍍藥劑</x:v>
      </x:c>
      <x:c r="C9" s="7" t="str">
        <x:v>CH-HC-01</x:v>
      </x:c>
      <x:c r="D9" s="10" t="n">
        <x:v>0.005</x:v>
      </x:c>
      <x:c r="E9" s="7" t="str">
        <x:v>3,200件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1" hidden="0" customWidth="1"/>
    <x:col min="2" max="2" width="19" hidden="0" customWidth="1"/>
    <x:col min="3" max="3" width="14" hidden="0" customWidth="1"/>
    <x:col min="4" max="4" width="14" hidden="0" customWidth="1"/>
    <x:col min="5" max="5" width="23" hidden="0" customWidth="1"/>
    <x:col min="6" max="6" width="14" hidden="0" customWidth="1"/>
    <x:col min="7" max="7" width="75" hidden="0" customWidth="1"/>
  </x:cols>
  <x:sheetData>
    <x:row r="1" ht="38" customHeight="1">
      <x:c r="A1" s="17" t="str">
        <x:v>採購單</x:v>
      </x:c>
      <x:c r="B1" s="17" t="str">
        <x:v>料號</x:v>
      </x:c>
      <x:c r="C1" s="17" t="str">
        <x:v>數量kg</x:v>
      </x:c>
      <x:c r="D1" s="17" t="str">
        <x:v>到貨日</x:v>
      </x:c>
      <x:c r="E1" s="17" t="str">
        <x:v>狀態</x:v>
      </x:c>
      <x:c r="F1" s="17" t="str">
        <x:v>下單日</x:v>
      </x:c>
      <x:c r="G1" s="17" t="str">
        <x:v>說明</x:v>
      </x:c>
    </x:row>
    <x:row r="2" ht="30" customHeight="1">
      <x:c r="A2" s="7" t="str">
        <x:v>PR-V2-30325</x:v>
      </x:c>
      <x:c r="B2" s="7" t="str">
        <x:v>RM-303-25</x:v>
      </x:c>
      <x:c r="C2" s="7" t="n">
        <x:v>500</x:v>
      </x:c>
      <x:c r="D2" s="13" t="n">
        <x:v>46279</x:v>
      </x:c>
      <x:c r="E2" s="7" t="str">
        <x:v>待9/11確認</x:v>
      </x:c>
      <x:c r="F2" s="13" t="n">
        <x:v>46274</x:v>
      </x:c>
      <x:c r="G2" s="7" t="str">
        <x:v>3工作日：9/10、11、14；08:00到貨後才能投料</x:v>
      </x:c>
    </x:row>
    <x:row r="3" ht="30" customHeight="1">
      <x:c r="A3" s="7" t="str">
        <x:v>PR-2609003</x:v>
      </x:c>
      <x:c r="B3" s="7" t="str">
        <x:v>RM-303-30</x:v>
      </x:c>
      <x:c r="C3" s="7" t="n">
        <x:v>500</x:v>
      </x:c>
      <x:c r="D3" s="13" t="n">
        <x:v>46281</x:v>
      </x:c>
      <x:c r="E3" s="7" t="str">
        <x:v>已確認</x:v>
      </x:c>
      <x:c r="F3" s="13" t="n">
        <x:v>46276</x:v>
      </x:c>
      <x:c r="G3" s="7" t="str">
        <x:v>既有補庫存；非本急單缺料</x:v>
      </x:c>
    </x:row>
    <x:row r="4" ht="30" customHeight="1">
      <x:c r="A4" s="7" t="str">
        <x:v>PR-2609004</x:v>
      </x:c>
      <x:c r="B4" s="7" t="str">
        <x:v>CH-HC-01</x:v>
      </x:c>
      <x:c r="C4" s="7" t="n">
        <x:v>50</x:v>
      </x:c>
      <x:c r="D4" s="13" t="n">
        <x:v>46283</x:v>
      </x:c>
      <x:c r="E4" s="7" t="str">
        <x:v>已確認</x:v>
      </x:c>
      <x:c r="F4" s="13" t="n">
        <x:v>46276</x:v>
      </x:c>
      <x:c r="G4" s="7" t="str">
        <x:v>既有採購；2桶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16" hidden="0" customWidth="1"/>
    <x:col min="5" max="5" width="18" hidden="0" customWidth="1"/>
  </x:cols>
  <x:sheetData>
    <x:row r="1" ht="38" customHeight="1">
      <x:c r="A1" s="17" t="str">
        <x:v>品號</x:v>
      </x:c>
      <x:c r="B1" s="17" t="str">
        <x:v>本期件數</x:v>
      </x:c>
      <x:c r="C1" s="17" t="str">
        <x:v>料號</x:v>
      </x:c>
      <x:c r="D1" s="17" t="str">
        <x:v>kg/件</x:v>
      </x:c>
      <x:c r="E1" s="17" t="str">
        <x:v>需求kg</x:v>
      </x:c>
    </x:row>
    <x:row r="2" ht="30" customHeight="1">
      <x:c r="A2" s="7" t="str">
        <x:v>YF-2048</x:v>
      </x:c>
      <x:c r="B2" s="7" t="n">
        <x:v>3000</x:v>
      </x:c>
      <x:c r="C2" s="7" t="str">
        <x:f>'用量標準'!C2</x:f>
        <x:v>RM-303-25</x:v>
      </x:c>
      <x:c r="D2" s="10" t="n">
        <x:f>'用量標準'!D2</x:f>
        <x:v>0.18</x:v>
      </x:c>
      <x:c r="E2" s="10" t="n">
        <x:f>B2*D2</x:f>
        <x:v>540</x:v>
      </x:c>
    </x:row>
    <x:row r="3" ht="30" customHeight="1">
      <x:c r="A3" s="7" t="str">
        <x:v>DC-1120</x:v>
      </x:c>
      <x:c r="B3" s="7" t="n">
        <x:v>800</x:v>
      </x:c>
      <x:c r="C3" s="7" t="str">
        <x:f>'用量標準'!C3</x:f>
        <x:v>RM-303-25</x:v>
      </x:c>
      <x:c r="D3" s="10" t="n">
        <x:f>'用量標準'!D3</x:f>
        <x:v>0.17</x:v>
      </x:c>
      <x:c r="E3" s="10" t="n">
        <x:f>B3*D3</x:f>
        <x:v>136</x:v>
      </x:c>
    </x:row>
    <x:row r="4" ht="30" customHeight="1">
      <x:c r="A4" s="7" t="str">
        <x:v>SD-330</x:v>
      </x:c>
      <x:c r="B4" s="7" t="n">
        <x:v>1000</x:v>
      </x:c>
      <x:c r="C4" s="7" t="str">
        <x:f>'用量標準'!C4</x:f>
        <x:v>RM-303-30</x:v>
      </x:c>
      <x:c r="D4" s="10" t="n">
        <x:f>'用量標準'!D4</x:f>
        <x:v>0.26</x:v>
      </x:c>
      <x:c r="E4" s="10" t="n">
        <x:f>B4*D4</x:f>
        <x:v>260</x:v>
      </x:c>
    </x:row>
    <x:row r="5" ht="30" customHeight="1">
      <x:c r="A5" s="7" t="str">
        <x:v>SD-331</x:v>
      </x:c>
      <x:c r="B5" s="7" t="n">
        <x:v>600</x:v>
      </x:c>
      <x:c r="C5" s="7" t="str">
        <x:f>'用量標準'!C5</x:f>
        <x:v>RM-303-30</x:v>
      </x:c>
      <x:c r="D5" s="10" t="n">
        <x:f>'用量標準'!D5</x:f>
        <x:v>0.22</x:v>
      </x:c>
      <x:c r="E5" s="10" t="n">
        <x:f>B5*D5</x:f>
        <x:v>132</x:v>
      </x:c>
    </x:row>
    <x:row r="6" ht="30" customHeight="1">
      <x:c r="A6" s="7" t="str">
        <x:v>HD-770</x:v>
      </x:c>
      <x:c r="B6" s="7" t="n">
        <x:v>500</x:v>
      </x:c>
      <x:c r="C6" s="7" t="str">
        <x:f>'用量標準'!C6</x:f>
        <x:v>RM-304-25</x:v>
      </x:c>
      <x:c r="D6" s="10" t="n">
        <x:f>'用量標準'!D6</x:f>
        <x:v>0.2</x:v>
      </x:c>
      <x:c r="E6" s="10" t="n">
        <x:f>B6*D6</x:f>
        <x:v>100</x:v>
      </x:c>
    </x:row>
    <x:row r="7" ht="30" customHeight="1">
      <x:c r="A7" s="7" t="str">
        <x:v>SD-330</x:v>
      </x:c>
      <x:c r="B7" s="7" t="n">
        <x:v>1000</x:v>
      </x:c>
      <x:c r="C7" s="7" t="str">
        <x:f>'用量標準'!C8</x:f>
        <x:v>CH-HC-01</x:v>
      </x:c>
      <x:c r="D7" s="10" t="n">
        <x:f>'用量標準'!D8</x:f>
        <x:v>0.005</x:v>
      </x:c>
      <x:c r="E7" s="10" t="n">
        <x:f>B7*D7</x:f>
        <x:v>5</x:v>
      </x:c>
    </x:row>
    <x:row r="8" ht="30" customHeight="1">
      <x:c r="A8" s="7" t="str">
        <x:v>HD-750</x:v>
      </x:c>
      <x:c r="B8" s="7" t="n">
        <x:v>3200</x:v>
      </x:c>
      <x:c r="C8" s="7" t="str">
        <x:f>'用量標準'!C9</x:f>
        <x:v>CH-HC-01</x:v>
      </x:c>
      <x:c r="D8" s="10" t="n">
        <x:f>'用量標準'!D9</x:f>
        <x:v>0.005</x:v>
      </x:c>
      <x:c r="E8" s="10" t="n">
        <x:f>B8*D8</x:f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4" hidden="0" customWidth="1"/>
    <x:col min="5" max="5" width="23" hidden="0" customWidth="1"/>
    <x:col min="6" max="6" width="25" hidden="0" customWidth="1"/>
    <x:col min="7" max="7" width="18" hidden="0" customWidth="1"/>
    <x:col min="8" max="8" width="17" hidden="0" customWidth="1"/>
    <x:col min="9" max="9" width="21" hidden="0" customWidth="1"/>
  </x:cols>
  <x:sheetData>
    <x:row r="1" ht="38" customHeight="1">
      <x:c r="A1" s="17" t="str">
        <x:v>料號</x:v>
      </x:c>
      <x:c r="B1" s="17" t="str">
        <x:v>期初kg</x:v>
      </x:c>
      <x:c r="C1" s="17" t="str">
        <x:v>需求kg</x:v>
      </x:c>
      <x:c r="D1" s="17" t="str">
        <x:v>安全kg</x:v>
      </x:c>
      <x:c r="E1" s="17" t="str">
        <x:v>不保安全缺口</x:v>
      </x:c>
      <x:c r="F1" s="17" t="str">
        <x:v>保安全採購需求</x:v>
      </x:c>
      <x:c r="G1" s="17" t="str">
        <x:v>本期採購kg</x:v>
      </x:c>
      <x:c r="H1" s="17" t="str">
        <x:v>期末kg</x:v>
      </x:c>
      <x:c r="I1" s="17" t="str">
        <x:v>高於安全kg</x:v>
      </x:c>
    </x:row>
    <x:row r="2" ht="30" customHeight="1">
      <x:c r="A2" s="7" t="str">
        <x:v>RM-303-25</x:v>
      </x:c>
      <x:c r="B2" s="14" t="n">
        <x:f>'原物料庫存'!D2</x:f>
        <x:v>420</x:v>
      </x:c>
      <x:c r="C2" s="14" t="n">
        <x:f>SUMIFS('工單用料'!E$2:E$8,'工單用料'!C$2:C$8,A2)</x:f>
        <x:v>676</x:v>
      </x:c>
      <x:c r="D2" s="14" t="n">
        <x:f>'原物料庫存'!E2</x:f>
        <x:v>200</x:v>
      </x:c>
      <x:c r="E2" s="14" t="n">
        <x:f>MAX(0,C2-B2)</x:f>
        <x:v>256</x:v>
      </x:c>
      <x:c r="F2" s="14" t="n">
        <x:f>MAX(0,C2+D2-B2)</x:f>
        <x:v>456</x:v>
      </x:c>
      <x:c r="G2" s="14" t="n">
        <x:f>SUMIFS('在途採購'!C$2:C$4,'在途採購'!B$2:B$4,A2)</x:f>
        <x:v>500</x:v>
      </x:c>
      <x:c r="H2" s="14" t="n">
        <x:f>B2+G2-C2</x:f>
        <x:v>244</x:v>
      </x:c>
      <x:c r="I2" s="14" t="n">
        <x:f>H2-D2</x:f>
        <x:v>44</x:v>
      </x:c>
    </x:row>
    <x:row r="3" ht="30" customHeight="1">
      <x:c r="A3" s="7" t="str">
        <x:v>RM-303-30</x:v>
      </x:c>
      <x:c r="B3" s="14" t="n">
        <x:f>'原物料庫存'!D3</x:f>
        <x:v>760</x:v>
      </x:c>
      <x:c r="C3" s="14" t="n">
        <x:f>SUMIFS('工單用料'!E$2:E$8,'工單用料'!C$2:C$8,A3)</x:f>
        <x:v>392</x:v>
      </x:c>
      <x:c r="D3" s="14" t="n">
        <x:f>'原物料庫存'!E3</x:f>
        <x:v>200</x:v>
      </x:c>
      <x:c r="E3" s="14" t="n">
        <x:f>MAX(0,C3-B3)</x:f>
        <x:v>0</x:v>
      </x:c>
      <x:c r="F3" s="14" t="n">
        <x:f>MAX(0,C3+D3-B3)</x:f>
        <x:v>0</x:v>
      </x:c>
      <x:c r="G3" s="14" t="n">
        <x:f>SUMIFS('在途採購'!C$2:C$4,'在途採購'!B$2:B$4,A3)</x:f>
        <x:v>500</x:v>
      </x:c>
      <x:c r="H3" s="14" t="n">
        <x:f>B3+G3-C3</x:f>
        <x:v>868</x:v>
      </x:c>
      <x:c r="I3" s="14" t="n">
        <x:f>H3-D3</x:f>
        <x:v>668</x:v>
      </x:c>
    </x:row>
    <x:row r="4" ht="30" customHeight="1">
      <x:c r="A4" s="7" t="str">
        <x:v>RM-304-25</x:v>
      </x:c>
      <x:c r="B4" s="14" t="n">
        <x:f>'原物料庫存'!D4</x:f>
        <x:v>310</x:v>
      </x:c>
      <x:c r="C4" s="14" t="n">
        <x:f>SUMIFS('工單用料'!E$2:E$8,'工單用料'!C$2:C$8,A4)</x:f>
        <x:v>100</x:v>
      </x:c>
      <x:c r="D4" s="14" t="n">
        <x:f>'原物料庫存'!E4</x:f>
        <x:v>150</x:v>
      </x:c>
      <x:c r="E4" s="14" t="n">
        <x:f>MAX(0,C4-B4)</x:f>
        <x:v>0</x:v>
      </x:c>
      <x:c r="F4" s="14" t="n">
        <x:f>MAX(0,C4+D4-B4)</x:f>
        <x:v>0</x:v>
      </x:c>
      <x:c r="G4" s="14" t="n">
        <x:f>SUMIFS('在途採購'!C$2:C$4,'在途採購'!B$2:B$4,A4)</x:f>
        <x:v>0</x:v>
      </x:c>
      <x:c r="H4" s="14" t="n">
        <x:f>B4+G4-C4</x:f>
        <x:v>210</x:v>
      </x:c>
      <x:c r="I4" s="14" t="n">
        <x:f>H4-D4</x:f>
        <x:v>60</x:v>
      </x:c>
    </x:row>
    <x:row r="5" ht="30" customHeight="1">
      <x:c r="A5" s="7" t="str">
        <x:v>CH-HC-01</x:v>
      </x:c>
      <x:c r="B5" s="14" t="n">
        <x:f>'原物料庫存'!D5</x:f>
        <x:v>75</x:v>
      </x:c>
      <x:c r="C5" s="14" t="n">
        <x:f>SUMIFS('工單用料'!E$2:E$8,'工單用料'!C$2:C$8,A5)</x:f>
        <x:v>21</x:v>
      </x:c>
      <x:c r="D5" s="14" t="n">
        <x:f>'原物料庫存'!E5</x:f>
        <x:v>50</x:v>
      </x:c>
      <x:c r="E5" s="14" t="n">
        <x:f>MAX(0,C5-B5)</x:f>
        <x:v>0</x:v>
      </x:c>
      <x:c r="F5" s="14" t="n">
        <x:f>MAX(0,C5+D5-B5)</x:f>
        <x:v>0</x:v>
      </x:c>
      <x:c r="G5" s="14" t="n">
        <x:f>SUMIFS('在途採購'!C$2:C$4,'在途採購'!B$2:B$4,A5)</x:f>
        <x:v>50</x:v>
      </x:c>
      <x:c r="H5" s="14" t="n">
        <x:f>B5+G5-C5</x:f>
        <x:v>104</x:v>
      </x:c>
      <x:c r="I5" s="14" t="n">
        <x:f>H5-D5</x:f>
        <x:v>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20" hidden="0" customWidth="1"/>
    <x:col min="5" max="5" width="15" hidden="0" customWidth="1"/>
    <x:col min="6" max="6" width="17" hidden="0" customWidth="1"/>
  </x:cols>
  <x:sheetData>
    <x:row r="1" ht="38" customHeight="1">
      <x:c r="A1" s="17" t="str">
        <x:v>日期</x:v>
      </x:c>
      <x:c r="B1" s="17" t="str">
        <x:v>品號</x:v>
      </x:c>
      <x:c r="C1" s="17" t="str">
        <x:v>加工件數</x:v>
      </x:c>
      <x:c r="D1" s="17" t="str">
        <x:v>料號</x:v>
      </x:c>
      <x:c r="E1" s="17" t="str">
        <x:v>kg/件</x:v>
      </x:c>
      <x:c r="F1" s="17" t="str">
        <x:v>領料kg</x:v>
      </x:c>
    </x:row>
    <x:row r="2" ht="30" customHeight="1">
      <x:c r="A2" s="13" t="n">
        <x:v>46279</x:v>
      </x:c>
      <x:c r="B2" s="7" t="str">
        <x:v>SD-330</x:v>
      </x:c>
      <x:c r="C2" s="7" t="n">
        <x:v>200</x:v>
      </x:c>
      <x:c r="D2" s="7" t="str">
        <x:f>'用量標準'!C4</x:f>
        <x:v>RM-303-30</x:v>
      </x:c>
      <x:c r="E2" s="10" t="n">
        <x:f>'用量標準'!D4</x:f>
        <x:v>0.26</x:v>
      </x:c>
      <x:c r="F2" s="10" t="n">
        <x:f>C2*E2</x:f>
        <x:v>52</x:v>
      </x:c>
    </x:row>
    <x:row r="3" ht="30" customHeight="1">
      <x:c r="A3" s="13" t="n">
        <x:v>46279</x:v>
      </x:c>
      <x:c r="B3" s="7" t="str">
        <x:v>YF-2048</x:v>
      </x:c>
      <x:c r="C3" s="7" t="n">
        <x:v>110</x:v>
      </x:c>
      <x:c r="D3" s="7" t="str">
        <x:f>'用量標準'!C2</x:f>
        <x:v>RM-303-25</x:v>
      </x:c>
      <x:c r="E3" s="10" t="n">
        <x:f>'用量標準'!D2</x:f>
        <x:v>0.18</x:v>
      </x:c>
      <x:c r="F3" s="10" t="n">
        <x:f>C3*E3</x:f>
        <x:v>19.8</x:v>
      </x:c>
    </x:row>
    <x:row r="4" ht="30" customHeight="1">
      <x:c r="A4" s="13" t="n">
        <x:v>46279</x:v>
      </x:c>
      <x:c r="B4" s="7" t="str">
        <x:v>SD-331</x:v>
      </x:c>
      <x:c r="C4" s="7" t="n">
        <x:v>200</x:v>
      </x:c>
      <x:c r="D4" s="7" t="str">
        <x:f>'用量標準'!C5</x:f>
        <x:v>RM-303-30</x:v>
      </x:c>
      <x:c r="E4" s="10" t="n">
        <x:f>'用量標準'!D5</x:f>
        <x:v>0.22</x:v>
      </x:c>
      <x:c r="F4" s="10" t="n">
        <x:f>C4*E4</x:f>
        <x:v>44</x:v>
      </x:c>
    </x:row>
    <x:row r="5" ht="30" customHeight="1">
      <x:c r="A5" s="13" t="n">
        <x:v>46279</x:v>
      </x:c>
      <x:c r="B5" s="7" t="str">
        <x:v>YF-2048</x:v>
      </x:c>
      <x:c r="C5" s="7" t="n">
        <x:v>110</x:v>
      </x:c>
      <x:c r="D5" s="7" t="str">
        <x:f>'用量標準'!C2</x:f>
        <x:v>RM-303-25</x:v>
      </x:c>
      <x:c r="E5" s="10" t="n">
        <x:f>'用量標準'!D2</x:f>
        <x:v>0.18</x:v>
      </x:c>
      <x:c r="F5" s="10" t="n">
        <x:f>C5*E5</x:f>
        <x:v>19.8</x:v>
      </x:c>
    </x:row>
    <x:row r="6" ht="30" customHeight="1">
      <x:c r="A6" s="13" t="n">
        <x:v>46279</x:v>
      </x:c>
      <x:c r="B6" s="7" t="str">
        <x:v>YF-2048</x:v>
      </x:c>
      <x:c r="C6" s="7" t="n">
        <x:v>310</x:v>
      </x:c>
      <x:c r="D6" s="7" t="str">
        <x:f>'用量標準'!C2</x:f>
        <x:v>RM-303-25</x:v>
      </x:c>
      <x:c r="E6" s="10" t="n">
        <x:f>'用量標準'!D2</x:f>
        <x:v>0.18</x:v>
      </x:c>
      <x:c r="F6" s="10" t="n">
        <x:f>C6*E6</x:f>
        <x:v>55.8</x:v>
      </x:c>
    </x:row>
    <x:row r="7" ht="30" customHeight="1">
      <x:c r="A7" s="13" t="n">
        <x:v>46280</x:v>
      </x:c>
      <x:c r="B7" s="7" t="str">
        <x:v>SD-330</x:v>
      </x:c>
      <x:c r="C7" s="7" t="n">
        <x:v>200</x:v>
      </x:c>
      <x:c r="D7" s="7" t="str">
        <x:f>'用量標準'!C4</x:f>
        <x:v>RM-303-30</x:v>
      </x:c>
      <x:c r="E7" s="10" t="n">
        <x:f>'用量標準'!D4</x:f>
        <x:v>0.26</x:v>
      </x:c>
      <x:c r="F7" s="10" t="n">
        <x:f>C7*E7</x:f>
        <x:v>52</x:v>
      </x:c>
    </x:row>
    <x:row r="8" ht="30" customHeight="1">
      <x:c r="A8" s="13" t="n">
        <x:v>46280</x:v>
      </x:c>
      <x:c r="B8" s="7" t="str">
        <x:v>YF-2048</x:v>
      </x:c>
      <x:c r="C8" s="7" t="n">
        <x:v>110</x:v>
      </x:c>
      <x:c r="D8" s="7" t="str">
        <x:f>'用量標準'!C2</x:f>
        <x:v>RM-303-25</x:v>
      </x:c>
      <x:c r="E8" s="10" t="n">
        <x:f>'用量標準'!D2</x:f>
        <x:v>0.18</x:v>
      </x:c>
      <x:c r="F8" s="10" t="n">
        <x:f>C8*E8</x:f>
        <x:v>19.8</x:v>
      </x:c>
    </x:row>
    <x:row r="9" ht="30" customHeight="1">
      <x:c r="A9" s="13" t="n">
        <x:v>46280</x:v>
      </x:c>
      <x:c r="B9" s="7" t="str">
        <x:v>SD-331</x:v>
      </x:c>
      <x:c r="C9" s="7" t="n">
        <x:v>200</x:v>
      </x:c>
      <x:c r="D9" s="7" t="str">
        <x:f>'用量標準'!C5</x:f>
        <x:v>RM-303-30</x:v>
      </x:c>
      <x:c r="E9" s="10" t="n">
        <x:f>'用量標準'!D5</x:f>
        <x:v>0.22</x:v>
      </x:c>
      <x:c r="F9" s="10" t="n">
        <x:f>C9*E9</x:f>
        <x:v>44</x:v>
      </x:c>
    </x:row>
    <x:row r="10" ht="30" customHeight="1">
      <x:c r="A10" s="13" t="n">
        <x:v>46280</x:v>
      </x:c>
      <x:c r="B10" s="7" t="str">
        <x:v>YF-2048</x:v>
      </x:c>
      <x:c r="C10" s="7" t="n">
        <x:v>110</x:v>
      </x:c>
      <x:c r="D10" s="7" t="str">
        <x:f>'用量標準'!C2</x:f>
        <x:v>RM-303-25</x:v>
      </x:c>
      <x:c r="E10" s="10" t="n">
        <x:f>'用量標準'!D2</x:f>
        <x:v>0.18</x:v>
      </x:c>
      <x:c r="F10" s="10" t="n">
        <x:f>C10*E10</x:f>
        <x:v>19.8</x:v>
      </x:c>
    </x:row>
    <x:row r="11" ht="30" customHeight="1">
      <x:c r="A11" s="13" t="n">
        <x:v>46280</x:v>
      </x:c>
      <x:c r="B11" s="7" t="str">
        <x:v>YF-2048</x:v>
      </x:c>
      <x:c r="C11" s="7" t="n">
        <x:v>310</x:v>
      </x:c>
      <x:c r="D11" s="7" t="str">
        <x:f>'用量標準'!C2</x:f>
        <x:v>RM-303-25</x:v>
      </x:c>
      <x:c r="E11" s="10" t="n">
        <x:f>'用量標準'!D2</x:f>
        <x:v>0.18</x:v>
      </x:c>
      <x:c r="F11" s="10" t="n">
        <x:f>C11*E11</x:f>
        <x:v>55.8</x:v>
      </x:c>
    </x:row>
    <x:row r="12" ht="30" customHeight="1">
      <x:c r="A12" s="13" t="n">
        <x:v>46281</x:v>
      </x:c>
      <x:c r="B12" s="7" t="str">
        <x:v>SD-330</x:v>
      </x:c>
      <x:c r="C12" s="7" t="n">
        <x:v>200</x:v>
      </x:c>
      <x:c r="D12" s="7" t="str">
        <x:f>'用量標準'!C4</x:f>
        <x:v>RM-303-30</x:v>
      </x:c>
      <x:c r="E12" s="10" t="n">
        <x:f>'用量標準'!D4</x:f>
        <x:v>0.26</x:v>
      </x:c>
      <x:c r="F12" s="10" t="n">
        <x:f>C12*E12</x:f>
        <x:v>52</x:v>
      </x:c>
    </x:row>
    <x:row r="13" ht="30" customHeight="1">
      <x:c r="A13" s="13" t="n">
        <x:v>46281</x:v>
      </x:c>
      <x:c r="B13" s="7" t="str">
        <x:v>YF-2048</x:v>
      </x:c>
      <x:c r="C13" s="7" t="n">
        <x:v>110</x:v>
      </x:c>
      <x:c r="D13" s="7" t="str">
        <x:f>'用量標準'!C2</x:f>
        <x:v>RM-303-25</x:v>
      </x:c>
      <x:c r="E13" s="10" t="n">
        <x:f>'用量標準'!D2</x:f>
        <x:v>0.18</x:v>
      </x:c>
      <x:c r="F13" s="10" t="n">
        <x:f>C13*E13</x:f>
        <x:v>19.8</x:v>
      </x:c>
    </x:row>
    <x:row r="14" ht="30" customHeight="1">
      <x:c r="A14" s="13" t="n">
        <x:v>46281</x:v>
      </x:c>
      <x:c r="B14" s="7" t="str">
        <x:v>SD-331</x:v>
      </x:c>
      <x:c r="C14" s="7" t="n">
        <x:v>200</x:v>
      </x:c>
      <x:c r="D14" s="7" t="str">
        <x:f>'用量標準'!C5</x:f>
        <x:v>RM-303-30</x:v>
      </x:c>
      <x:c r="E14" s="10" t="n">
        <x:f>'用量標準'!D5</x:f>
        <x:v>0.22</x:v>
      </x:c>
      <x:c r="F14" s="10" t="n">
        <x:f>C14*E14</x:f>
        <x:v>44</x:v>
      </x:c>
    </x:row>
    <x:row r="15" ht="30" customHeight="1">
      <x:c r="A15" s="13" t="n">
        <x:v>46281</x:v>
      </x:c>
      <x:c r="B15" s="7" t="str">
        <x:v>YF-2048</x:v>
      </x:c>
      <x:c r="C15" s="7" t="n">
        <x:v>110</x:v>
      </x:c>
      <x:c r="D15" s="7" t="str">
        <x:f>'用量標準'!C2</x:f>
        <x:v>RM-303-25</x:v>
      </x:c>
      <x:c r="E15" s="10" t="n">
        <x:f>'用量標準'!D2</x:f>
        <x:v>0.18</x:v>
      </x:c>
      <x:c r="F15" s="10" t="n">
        <x:f>C15*E15</x:f>
        <x:v>19.8</x:v>
      </x:c>
    </x:row>
    <x:row r="16" ht="30" customHeight="1">
      <x:c r="A16" s="13" t="n">
        <x:v>46281</x:v>
      </x:c>
      <x:c r="B16" s="7" t="str">
        <x:v>YF-2048</x:v>
      </x:c>
      <x:c r="C16" s="7" t="n">
        <x:v>310</x:v>
      </x:c>
      <x:c r="D16" s="7" t="str">
        <x:f>'用量標準'!C2</x:f>
        <x:v>RM-303-25</x:v>
      </x:c>
      <x:c r="E16" s="10" t="n">
        <x:f>'用量標準'!D2</x:f>
        <x:v>0.18</x:v>
      </x:c>
      <x:c r="F16" s="10" t="n">
        <x:f>C16*E16</x:f>
        <x:v>55.8</x:v>
      </x:c>
    </x:row>
    <x:row r="17" ht="30" customHeight="1">
      <x:c r="A17" s="13" t="n">
        <x:v>46282</x:v>
      </x:c>
      <x:c r="B17" s="7" t="str">
        <x:v>SD-330</x:v>
      </x:c>
      <x:c r="C17" s="7" t="n">
        <x:v>200</x:v>
      </x:c>
      <x:c r="D17" s="7" t="str">
        <x:f>'用量標準'!C4</x:f>
        <x:v>RM-303-30</x:v>
      </x:c>
      <x:c r="E17" s="10" t="n">
        <x:f>'用量標準'!D4</x:f>
        <x:v>0.26</x:v>
      </x:c>
      <x:c r="F17" s="10" t="n">
        <x:f>C17*E17</x:f>
        <x:v>52</x:v>
      </x:c>
    </x:row>
    <x:row r="18" ht="30" customHeight="1">
      <x:c r="A18" s="13" t="n">
        <x:v>46282</x:v>
      </x:c>
      <x:c r="B18" s="7" t="str">
        <x:v>YF-2048</x:v>
      </x:c>
      <x:c r="C18" s="7" t="n">
        <x:v>110</x:v>
      </x:c>
      <x:c r="D18" s="7" t="str">
        <x:f>'用量標準'!C2</x:f>
        <x:v>RM-303-25</x:v>
      </x:c>
      <x:c r="E18" s="10" t="n">
        <x:f>'用量標準'!D2</x:f>
        <x:v>0.18</x:v>
      </x:c>
      <x:c r="F18" s="10" t="n">
        <x:f>C18*E18</x:f>
        <x:v>19.8</x:v>
      </x:c>
    </x:row>
    <x:row r="19" ht="30" customHeight="1">
      <x:c r="A19" s="13" t="n">
        <x:v>46282</x:v>
      </x:c>
      <x:c r="B19" s="7" t="str">
        <x:v>YF-2048</x:v>
      </x:c>
      <x:c r="C19" s="7" t="n">
        <x:v>310</x:v>
      </x:c>
      <x:c r="D19" s="7" t="str">
        <x:f>'用量標準'!C2</x:f>
        <x:v>RM-303-25</x:v>
      </x:c>
      <x:c r="E19" s="10" t="n">
        <x:f>'用量標準'!D2</x:f>
        <x:v>0.18</x:v>
      </x:c>
      <x:c r="F19" s="10" t="n">
        <x:f>C19*E19</x:f>
        <x:v>55.8</x:v>
      </x:c>
    </x:row>
    <x:row r="20" ht="30" customHeight="1">
      <x:c r="A20" s="13" t="n">
        <x:v>46282</x:v>
      </x:c>
      <x:c r="B20" s="7" t="str">
        <x:v>YF-2048</x:v>
      </x:c>
      <x:c r="C20" s="7" t="n">
        <x:v>285</x:v>
      </x:c>
      <x:c r="D20" s="7" t="str">
        <x:f>'用量標準'!C2</x:f>
        <x:v>RM-303-25</x:v>
      </x:c>
      <x:c r="E20" s="10" t="n">
        <x:f>'用量標準'!D2</x:f>
        <x:v>0.18</x:v>
      </x:c>
      <x:c r="F20" s="10" t="n">
        <x:f>C20*E20</x:f>
        <x:v>51.3</x:v>
      </x:c>
    </x:row>
    <x:row r="21" ht="30" customHeight="1">
      <x:c r="A21" s="13" t="n">
        <x:v>46283</x:v>
      </x:c>
      <x:c r="B21" s="7" t="str">
        <x:v>SD-330</x:v>
      </x:c>
      <x:c r="C21" s="7" t="n">
        <x:v>200</x:v>
      </x:c>
      <x:c r="D21" s="7" t="str">
        <x:f>'用量標準'!C4</x:f>
        <x:v>RM-303-30</x:v>
      </x:c>
      <x:c r="E21" s="10" t="n">
        <x:f>'用量標準'!D4</x:f>
        <x:v>0.26</x:v>
      </x:c>
      <x:c r="F21" s="10" t="n">
        <x:f>C21*E21</x:f>
        <x:v>52</x:v>
      </x:c>
    </x:row>
    <x:row r="22" ht="30" customHeight="1">
      <x:c r="A22" s="13" t="n">
        <x:v>46283</x:v>
      </x:c>
      <x:c r="B22" s="7" t="str">
        <x:v>YF-2048</x:v>
      </x:c>
      <x:c r="C22" s="7" t="n">
        <x:v>110</x:v>
      </x:c>
      <x:c r="D22" s="7" t="str">
        <x:f>'用量標準'!C2</x:f>
        <x:v>RM-303-25</x:v>
      </x:c>
      <x:c r="E22" s="10" t="n">
        <x:f>'用量標準'!D2</x:f>
        <x:v>0.18</x:v>
      </x:c>
      <x:c r="F22" s="10" t="n">
        <x:f>C22*E22</x:f>
        <x:v>19.8</x:v>
      </x:c>
    </x:row>
    <x:row r="23" ht="30" customHeight="1">
      <x:c r="A23" s="13" t="n">
        <x:v>46283</x:v>
      </x:c>
      <x:c r="B23" s="7" t="str">
        <x:v>YF-2048</x:v>
      </x:c>
      <x:c r="C23" s="7" t="n">
        <x:v>310</x:v>
      </x:c>
      <x:c r="D23" s="7" t="str">
        <x:f>'用量標準'!C2</x:f>
        <x:v>RM-303-25</x:v>
      </x:c>
      <x:c r="E23" s="10" t="n">
        <x:f>'用量標準'!D2</x:f>
        <x:v>0.18</x:v>
      </x:c>
      <x:c r="F23" s="10" t="n">
        <x:f>C23*E23</x:f>
        <x:v>55.8</x:v>
      </x:c>
    </x:row>
    <x:row r="24" ht="30" customHeight="1">
      <x:c r="A24" s="13" t="n">
        <x:v>46283</x:v>
      </x:c>
      <x:c r="B24" s="7" t="str">
        <x:v>YF-2048</x:v>
      </x:c>
      <x:c r="C24" s="7" t="n">
        <x:v>285</x:v>
      </x:c>
      <x:c r="D24" s="7" t="str">
        <x:f>'用量標準'!C2</x:f>
        <x:v>RM-303-25</x:v>
      </x:c>
      <x:c r="E24" s="10" t="n">
        <x:f>'用量標準'!D2</x:f>
        <x:v>0.18</x:v>
      </x:c>
      <x:c r="F24" s="10" t="n">
        <x:f>C24*E24</x:f>
        <x:v>51.3</x:v>
      </x:c>
    </x:row>
    <x:row r="25" ht="30" customHeight="1">
      <x:c r="A25" s="13" t="n">
        <x:v>46286</x:v>
      </x:c>
      <x:c r="B25" s="7" t="str">
        <x:v>DC-1120</x:v>
      </x:c>
      <x:c r="C25" s="7" t="n">
        <x:v>200</x:v>
      </x:c>
      <x:c r="D25" s="7" t="str">
        <x:f>'用量標準'!C3</x:f>
        <x:v>RM-303-25</x:v>
      </x:c>
      <x:c r="E25" s="10" t="n">
        <x:f>'用量標準'!D3</x:f>
        <x:v>0.17</x:v>
      </x:c>
      <x:c r="F25" s="10" t="n">
        <x:f>C25*E25</x:f>
        <x:v>34</x:v>
      </x:c>
    </x:row>
    <x:row r="26" ht="30" customHeight="1">
      <x:c r="A26" s="13" t="n">
        <x:v>46287</x:v>
      </x:c>
      <x:c r="B26" s="7" t="str">
        <x:v>DC-1120</x:v>
      </x:c>
      <x:c r="C26" s="7" t="n">
        <x:v>200</x:v>
      </x:c>
      <x:c r="D26" s="7" t="str">
        <x:f>'用量標準'!C3</x:f>
        <x:v>RM-303-25</x:v>
      </x:c>
      <x:c r="E26" s="10" t="n">
        <x:f>'用量標準'!D3</x:f>
        <x:v>0.17</x:v>
      </x:c>
      <x:c r="F26" s="10" t="n">
        <x:f>C26*E26</x:f>
        <x:v>34</x:v>
      </x:c>
    </x:row>
    <x:row r="27" ht="30" customHeight="1">
      <x:c r="A27" s="13" t="n">
        <x:v>46287</x:v>
      </x:c>
      <x:c r="B27" s="7" t="str">
        <x:v>HD-770</x:v>
      </x:c>
      <x:c r="C27" s="7" t="n">
        <x:v>250</x:v>
      </x:c>
      <x:c r="D27" s="7" t="str">
        <x:f>'用量標準'!C6</x:f>
        <x:v>RM-304-25</x:v>
      </x:c>
      <x:c r="E27" s="10" t="n">
        <x:f>'用量標準'!D6</x:f>
        <x:v>0.2</x:v>
      </x:c>
      <x:c r="F27" s="10" t="n">
        <x:f>C27*E27</x:f>
        <x:v>50</x:v>
      </x:c>
    </x:row>
    <x:row r="28" ht="30" customHeight="1">
      <x:c r="A28" s="13" t="n">
        <x:v>46288</x:v>
      </x:c>
      <x:c r="B28" s="7" t="str">
        <x:v>DC-1120</x:v>
      </x:c>
      <x:c r="C28" s="7" t="n">
        <x:v>200</x:v>
      </x:c>
      <x:c r="D28" s="7" t="str">
        <x:f>'用量標準'!C3</x:f>
        <x:v>RM-303-25</x:v>
      </x:c>
      <x:c r="E28" s="10" t="n">
        <x:f>'用量標準'!D3</x:f>
        <x:v>0.17</x:v>
      </x:c>
      <x:c r="F28" s="10" t="n">
        <x:f>C28*E28</x:f>
        <x:v>34</x:v>
      </x:c>
    </x:row>
    <x:row r="29" ht="30" customHeight="1">
      <x:c r="A29" s="13" t="n">
        <x:v>46288</x:v>
      </x:c>
      <x:c r="B29" s="7" t="str">
        <x:v>HD-770</x:v>
      </x:c>
      <x:c r="C29" s="7" t="n">
        <x:v>250</x:v>
      </x:c>
      <x:c r="D29" s="7" t="str">
        <x:f>'用量標準'!C6</x:f>
        <x:v>RM-304-25</x:v>
      </x:c>
      <x:c r="E29" s="10" t="n">
        <x:f>'用量標準'!D6</x:f>
        <x:v>0.2</x:v>
      </x:c>
      <x:c r="F29" s="10" t="n">
        <x:f>C29*E29</x:f>
        <x:v>50</x:v>
      </x:c>
    </x:row>
    <x:row r="30" ht="30" customHeight="1">
      <x:c r="A30" s="13" t="n">
        <x:v>46289</x:v>
      </x:c>
      <x:c r="B30" s="7" t="str">
        <x:v>DC-1120</x:v>
      </x:c>
      <x:c r="C30" s="7" t="n">
        <x:v>200</x:v>
      </x:c>
      <x:c r="D30" s="7" t="str">
        <x:f>'用量標準'!C3</x:f>
        <x:v>RM-303-25</x:v>
      </x:c>
      <x:c r="E30" s="10" t="n">
        <x:f>'用量標準'!D3</x:f>
        <x:v>0.17</x:v>
      </x:c>
      <x:c r="F30" s="10" t="n">
        <x:f>C30*E30</x:f>
        <x:v>34</x:v>
      </x:c>
    </x:row>
    <x:row r="31" ht="30" customHeight="1">
      <x:c r="A31" s="13" t="n">
        <x:v>46280</x:v>
      </x:c>
      <x:c r="B31" s="7" t="str">
        <x:v>SD-330</x:v>
      </x:c>
      <x:c r="C31" s="7" t="n">
        <x:v>200</x:v>
      </x:c>
      <x:c r="D31" s="7" t="str">
        <x:f>'用量標準'!C8</x:f>
        <x:v>CH-HC-01</x:v>
      </x:c>
      <x:c r="E31" s="10" t="n">
        <x:f>'用量標準'!D8</x:f>
        <x:v>0.005</x:v>
      </x:c>
      <x:c r="F31" s="10" t="n">
        <x:f>C31*E31</x:f>
        <x:v>1</x:v>
      </x:c>
    </x:row>
    <x:row r="32" ht="30" customHeight="1">
      <x:c r="A32" s="13" t="n">
        <x:v>46281</x:v>
      </x:c>
      <x:c r="B32" s="7" t="str">
        <x:v>SD-330</x:v>
      </x:c>
      <x:c r="C32" s="7" t="n">
        <x:v>200</x:v>
      </x:c>
      <x:c r="D32" s="7" t="str">
        <x:f>'用量標準'!C8</x:f>
        <x:v>CH-HC-01</x:v>
      </x:c>
      <x:c r="E32" s="10" t="n">
        <x:f>'用量標準'!D8</x:f>
        <x:v>0.005</x:v>
      </x:c>
      <x:c r="F32" s="10" t="n">
        <x:f>C32*E32</x:f>
        <x:v>1</x:v>
      </x:c>
    </x:row>
    <x:row r="33" ht="30" customHeight="1">
      <x:c r="A33" s="13" t="n">
        <x:v>46282</x:v>
      </x:c>
      <x:c r="B33" s="7" t="str">
        <x:v>SD-330</x:v>
      </x:c>
      <x:c r="C33" s="7" t="n">
        <x:v>200</x:v>
      </x:c>
      <x:c r="D33" s="7" t="str">
        <x:f>'用量標準'!C8</x:f>
        <x:v>CH-HC-01</x:v>
      </x:c>
      <x:c r="E33" s="10" t="n">
        <x:f>'用量標準'!D8</x:f>
        <x:v>0.005</x:v>
      </x:c>
      <x:c r="F33" s="10" t="n">
        <x:f>C33*E33</x:f>
        <x:v>1</x:v>
      </x:c>
    </x:row>
    <x:row r="34" ht="30" customHeight="1">
      <x:c r="A34" s="13" t="n">
        <x:v>46283</x:v>
      </x:c>
      <x:c r="B34" s="7" t="str">
        <x:v>SD-330</x:v>
      </x:c>
      <x:c r="C34" s="7" t="n">
        <x:v>200</x:v>
      </x:c>
      <x:c r="D34" s="7" t="str">
        <x:f>'用量標準'!C8</x:f>
        <x:v>CH-HC-01</x:v>
      </x:c>
      <x:c r="E34" s="10" t="n">
        <x:f>'用量標準'!D8</x:f>
        <x:v>0.005</x:v>
      </x:c>
      <x:c r="F34" s="10" t="n">
        <x:f>C34*E34</x:f>
        <x:v>1</x:v>
      </x:c>
    </x:row>
    <x:row r="35" ht="30" customHeight="1">
      <x:c r="A35" s="13" t="n">
        <x:v>46286</x:v>
      </x:c>
      <x:c r="B35" s="7" t="str">
        <x:v>SD-330</x:v>
      </x:c>
      <x:c r="C35" s="7" t="n">
        <x:v>200</x:v>
      </x:c>
      <x:c r="D35" s="7" t="str">
        <x:f>'用量標準'!C8</x:f>
        <x:v>CH-HC-01</x:v>
      </x:c>
      <x:c r="E35" s="10" t="n">
        <x:f>'用量標準'!D8</x:f>
        <x:v>0.005</x:v>
      </x:c>
      <x:c r="F35" s="10" t="n">
        <x:f>C35*E35</x:f>
        <x:v>1</x:v>
      </x:c>
    </x:row>
    <x:row r="36" ht="30" customHeight="1">
      <x:c r="A36" s="13" t="n">
        <x:v>46287</x:v>
      </x:c>
      <x:c r="B36" s="7" t="str">
        <x:v>HD-750</x:v>
      </x:c>
      <x:c r="C36" s="7" t="n">
        <x:v>400</x:v>
      </x:c>
      <x:c r="D36" s="7" t="str">
        <x:f>'用量標準'!C9</x:f>
        <x:v>CH-HC-01</x:v>
      </x:c>
      <x:c r="E36" s="10" t="n">
        <x:f>'用量標準'!D9</x:f>
        <x:v>0.005</x:v>
      </x:c>
      <x:c r="F36" s="10" t="n">
        <x:f>C36*E36</x:f>
        <x:v>2</x:v>
      </x:c>
    </x:row>
    <x:row r="37" ht="30" customHeight="1">
      <x:c r="A37" s="13" t="n">
        <x:v>46288</x:v>
      </x:c>
      <x:c r="B37" s="7" t="str">
        <x:v>HD-750</x:v>
      </x:c>
      <x:c r="C37" s="7" t="n">
        <x:v>400</x:v>
      </x:c>
      <x:c r="D37" s="7" t="str">
        <x:f>'用量標準'!C9</x:f>
        <x:v>CH-HC-01</x:v>
      </x:c>
      <x:c r="E37" s="10" t="n">
        <x:f>'用量標準'!D9</x:f>
        <x:v>0.005</x:v>
      </x:c>
      <x:c r="F37" s="10" t="n">
        <x:f>C37*E37</x:f>
        <x:v>2</x:v>
      </x:c>
    </x:row>
    <x:row r="38" ht="30" customHeight="1">
      <x:c r="A38" s="13" t="n">
        <x:v>46289</x:v>
      </x:c>
      <x:c r="B38" s="7" t="str">
        <x:v>HD-750</x:v>
      </x:c>
      <x:c r="C38" s="7" t="n">
        <x:v>400</x:v>
      </x:c>
      <x:c r="D38" s="7" t="str">
        <x:f>'用量標準'!C9</x:f>
        <x:v>CH-HC-01</x:v>
      </x:c>
      <x:c r="E38" s="10" t="n">
        <x:f>'用量標準'!D9</x:f>
        <x:v>0.005</x:v>
      </x:c>
      <x:c r="F38" s="10" t="n">
        <x:f>C38*E38</x:f>
        <x:v>2</x:v>
      </x:c>
    </x:row>
    <x:row r="39" ht="30" customHeight="1">
      <x:c r="A39" s="13" t="n">
        <x:v>46294</x:v>
      </x:c>
      <x:c r="B39" s="7" t="str">
        <x:v>HD-750</x:v>
      </x:c>
      <x:c r="C39" s="7" t="n">
        <x:v>400</x:v>
      </x:c>
      <x:c r="D39" s="7" t="str">
        <x:f>'用量標準'!C9</x:f>
        <x:v>CH-HC-01</x:v>
      </x:c>
      <x:c r="E39" s="10" t="n">
        <x:f>'用量標準'!D9</x:f>
        <x:v>0.005</x:v>
      </x:c>
      <x:c r="F39" s="10" t="n">
        <x:f>C39*E39</x:f>
        <x:v>2</x:v>
      </x:c>
    </x:row>
    <x:row r="40" ht="30" customHeight="1">
      <x:c r="A40" s="13" t="n">
        <x:v>46295</x:v>
      </x:c>
      <x:c r="B40" s="7" t="str">
        <x:v>HD-750</x:v>
      </x:c>
      <x:c r="C40" s="7" t="n">
        <x:v>400</x:v>
      </x:c>
      <x:c r="D40" s="7" t="str">
        <x:f>'用量標準'!C9</x:f>
        <x:v>CH-HC-01</x:v>
      </x:c>
      <x:c r="E40" s="10" t="n">
        <x:f>'用量標準'!D9</x:f>
        <x:v>0.005</x:v>
      </x:c>
      <x:c r="F40" s="10" t="n">
        <x:f>C40*E40</x:f>
        <x:v>2</x:v>
      </x:c>
    </x:row>
    <x:row r="41" ht="30" customHeight="1">
      <x:c r="A41" s="13" t="n">
        <x:v>46296</x:v>
      </x:c>
      <x:c r="B41" s="7" t="str">
        <x:v>HD-750</x:v>
      </x:c>
      <x:c r="C41" s="7" t="n">
        <x:v>400</x:v>
      </x:c>
      <x:c r="D41" s="7" t="str">
        <x:f>'用量標準'!C9</x:f>
        <x:v>CH-HC-01</x:v>
      </x:c>
      <x:c r="E41" s="10" t="n">
        <x:f>'用量標準'!D9</x:f>
        <x:v>0.005</x:v>
      </x:c>
      <x:c r="F41" s="10" t="n">
        <x:f>C41*E41</x:f>
        <x:v>2</x:v>
      </x:c>
    </x:row>
    <x:row r="42" ht="30" customHeight="1">
      <x:c r="A42" s="13" t="n">
        <x:v>46297</x:v>
      </x:c>
      <x:c r="B42" s="7" t="str">
        <x:v>HD-750</x:v>
      </x:c>
      <x:c r="C42" s="7" t="n">
        <x:v>400</x:v>
      </x:c>
      <x:c r="D42" s="7" t="str">
        <x:f>'用量標準'!C9</x:f>
        <x:v>CH-HC-01</x:v>
      </x:c>
      <x:c r="E42" s="10" t="n">
        <x:f>'用量標準'!D9</x:f>
        <x:v>0.005</x:v>
      </x:c>
      <x:c r="F42" s="10" t="n">
        <x:f>C42*E42</x:f>
        <x:v>2</x:v>
      </x:c>
    </x:row>
    <x:row r="43" ht="30" customHeight="1">
      <x:c r="A43" s="13" t="n">
        <x:v>46300</x:v>
      </x:c>
      <x:c r="B43" s="7" t="str">
        <x:v>HD-750</x:v>
      </x:c>
      <x:c r="C43" s="7" t="n">
        <x:v>400</x:v>
      </x:c>
      <x:c r="D43" s="7" t="str">
        <x:f>'用量標準'!C9</x:f>
        <x:v>CH-HC-01</x:v>
      </x:c>
      <x:c r="E43" s="10" t="n">
        <x:f>'用量標準'!D9</x:f>
        <x:v>0.005</x:v>
      </x:c>
      <x:c r="F43" s="10" t="n">
        <x:f>C43*E43</x:f>
        <x:v>2</x:v>
      </x:c>
    </x:row>
    <x:row r="44">
      <x:c r="E44" s="15"/>
      <x:c r="F44" s="15"/>
    </x:row>
    <x:row r="45">
      <x:c r="E45" s="15"/>
      <x:c r="F45" s="15"/>
    </x:row>
    <x:row r="46">
      <x:c r="E46" s="15"/>
      <x:c r="F46" s="15"/>
    </x:row>
    <x:row r="47">
      <x:c r="E47" s="15"/>
      <x:c r="F47" s="15"/>
    </x:row>
    <x:row r="48">
      <x:c r="E48" s="15"/>
      <x:c r="F48" s="15"/>
    </x:row>
    <x:row r="49">
      <x:c r="E49" s="15"/>
      <x:c r="F49" s="15"/>
    </x:row>
    <x:row r="50">
      <x:c r="E50" s="15"/>
      <x:c r="F50" s="15"/>
    </x:row>
    <x:row r="51">
      <x:c r="E51" s="15"/>
      <x:c r="F51" s="15"/>
    </x:row>
    <x:row r="52">
      <x:c r="E52" s="15"/>
      <x:c r="F52" s="15"/>
    </x:row>
    <x:row r="53">
      <x:c r="E53" s="15"/>
      <x:c r="F53" s="15"/>
    </x:row>
    <x:row r="54">
      <x:c r="E54" s="15"/>
      <x:c r="F54" s="15"/>
    </x:row>
    <x:row r="55">
      <x:c r="E55" s="15"/>
      <x:c r="F55" s="15"/>
    </x:row>
    <x:row r="56">
      <x:c r="E56" s="15"/>
      <x:c r="F56" s="15"/>
    </x:row>
    <x:row r="57">
      <x:c r="E57" s="15"/>
      <x:c r="F57" s="15"/>
    </x:row>
    <x:row r="58">
      <x:c r="E58" s="15"/>
      <x:c r="F58" s="15"/>
    </x:row>
    <x:row r="59">
      <x:c r="E59" s="15"/>
      <x:c r="F59" s="15"/>
    </x:row>
    <x:row r="60">
      <x:c r="E60" s="15"/>
      <x:c r="F60" s="15"/>
    </x:row>
    <x:row r="61">
      <x:c r="E61" s="15"/>
      <x:c r="F61" s="15"/>
    </x:row>
    <x:row r="62">
      <x:c r="E62" s="15"/>
      <x:c r="F62" s="15"/>
    </x:row>
    <x:row r="63">
      <x:c r="E63" s="15"/>
      <x:c r="F63" s="15"/>
    </x:row>
    <x:row r="64">
      <x:c r="E64" s="15"/>
      <x:c r="F64" s="15"/>
    </x:row>
    <x:row r="65">
      <x:c r="E65" s="15"/>
      <x:c r="F65" s="15"/>
    </x:row>
    <x:row r="66">
      <x:c r="E66" s="15"/>
      <x:c r="F66" s="15"/>
    </x:row>
    <x:row r="67">
      <x:c r="E67" s="15"/>
      <x:c r="F67" s="15"/>
    </x:row>
    <x:row r="68">
      <x:c r="E68" s="15"/>
      <x:c r="F68" s="15"/>
    </x:row>
    <x:row r="69">
      <x:c r="E69" s="15"/>
      <x:c r="F69" s="15"/>
    </x:row>
    <x:row r="70">
      <x:c r="E70" s="15"/>
      <x:c r="F70" s="15"/>
    </x:row>
    <x:row r="71">
      <x:c r="E71" s="15"/>
      <x:c r="F71" s="15"/>
    </x:row>
    <x:row r="72">
      <x:c r="E72" s="15"/>
      <x:c r="F72" s="15"/>
    </x:row>
    <x:row r="73">
      <x:c r="E73" s="15"/>
      <x:c r="F73" s="15"/>
    </x:row>
    <x:row r="74">
      <x:c r="E74" s="15"/>
      <x:c r="F74" s="15"/>
    </x:row>
    <x:row r="75">
      <x:c r="E75" s="15"/>
      <x:c r="F75" s="15"/>
    </x:row>
    <x:row r="76">
      <x:c r="E76" s="15"/>
      <x:c r="F76" s="15"/>
    </x:row>
    <x:row r="77">
      <x:c r="E77" s="15"/>
      <x:c r="F77" s="15"/>
    </x:row>
    <x:row r="78">
      <x:c r="E78" s="15"/>
      <x:c r="F78" s="15"/>
    </x:row>
    <x:row r="79">
      <x:c r="E79" s="15"/>
      <x:c r="F79" s="15"/>
    </x:row>
    <x:row r="80">
      <x:c r="E80" s="15"/>
      <x:c r="F8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9" hidden="0" customWidth="1"/>
  </x:cols>
  <x:sheetData>
    <x:row r="1" ht="38" customHeight="1">
      <x:c r="A1" s="17" t="str">
        <x:v>日期</x:v>
      </x:c>
      <x:c r="B1" s="17" t="str">
        <x:v>料號</x:v>
      </x:c>
      <x:c r="C1" s="17" t="str">
        <x:v>期初kg</x:v>
      </x:c>
      <x:c r="D1" s="17" t="str">
        <x:v>到貨kg</x:v>
      </x:c>
      <x:c r="E1" s="17" t="str">
        <x:v>耗用kg</x:v>
      </x:c>
      <x:c r="F1" s="17" t="str">
        <x:v>期末kg</x:v>
      </x:c>
      <x:c r="G1" s="17" t="str">
        <x:v>安全kg</x:v>
      </x:c>
      <x:c r="H1" s="17" t="str">
        <x:v>安全餘額kg</x:v>
      </x:c>
    </x:row>
    <x:row r="2" ht="30" customHeight="1">
      <x:c r="A2" s="13" t="n">
        <x:v>46279</x:v>
      </x:c>
      <x:c r="B2" s="7" t="str">
        <x:v>RM-303-25</x:v>
      </x:c>
      <x:c r="C2" s="14" t="n">
        <x:f>'原物料庫存'!D2</x:f>
        <x:v>420</x:v>
      </x:c>
      <x:c r="D2" s="14" t="n">
        <x:f>SUMIFS('在途採購'!C$2:C$4,'在途採購'!B$2:B$4,B2,'在途採購'!D$2:D$4,A2)</x:f>
        <x:v>500</x:v>
      </x:c>
      <x:c r="E2" s="14" t="n">
        <x:f>SUMIFS('日別領料'!F$2:F$80,'日別領料'!D$2:D$80,B2,'日別領料'!A$2:A$80,A2)</x:f>
        <x:v>95.4</x:v>
      </x:c>
      <x:c r="F2" s="14" t="n">
        <x:f>C2+D2-E2</x:f>
        <x:v>824.6</x:v>
      </x:c>
      <x:c r="G2" s="14" t="n">
        <x:f>'原物料庫存'!E2</x:f>
        <x:v>200</x:v>
      </x:c>
      <x:c r="H2" s="14" t="n">
        <x:f>F2-G2</x:f>
        <x:v>624.6</x:v>
      </x:c>
    </x:row>
    <x:row r="3" ht="30" customHeight="1">
      <x:c r="A3" s="13" t="n">
        <x:v>46279</x:v>
      </x:c>
      <x:c r="B3" s="7" t="str">
        <x:v>RM-303-30</x:v>
      </x:c>
      <x:c r="C3" s="14" t="n">
        <x:f>'原物料庫存'!D3</x:f>
        <x:v>760</x:v>
      </x:c>
      <x:c r="D3" s="14" t="n">
        <x:f>SUMIFS('在途採購'!C$2:C$4,'在途採購'!B$2:B$4,B3,'在途採購'!D$2:D$4,A3)</x:f>
        <x:v>0</x:v>
      </x:c>
      <x:c r="E3" s="14" t="n">
        <x:f>SUMIFS('日別領料'!F$2:F$80,'日別領料'!D$2:D$80,B3,'日別領料'!A$2:A$80,A3)</x:f>
        <x:v>96</x:v>
      </x:c>
      <x:c r="F3" s="14" t="n">
        <x:f>C3+D3-E3</x:f>
        <x:v>664</x:v>
      </x:c>
      <x:c r="G3" s="14" t="n">
        <x:f>'原物料庫存'!E3</x:f>
        <x:v>200</x:v>
      </x:c>
      <x:c r="H3" s="14" t="n">
        <x:f>F3-G3</x:f>
        <x:v>464</x:v>
      </x:c>
    </x:row>
    <x:row r="4" ht="30" customHeight="1">
      <x:c r="A4" s="13" t="n">
        <x:v>46279</x:v>
      </x:c>
      <x:c r="B4" s="7" t="str">
        <x:v>RM-304-25</x:v>
      </x:c>
      <x:c r="C4" s="14" t="n">
        <x:f>'原物料庫存'!D4</x:f>
        <x:v>310</x:v>
      </x:c>
      <x:c r="D4" s="14" t="n">
        <x:f>SUMIFS('在途採購'!C$2:C$4,'在途採購'!B$2:B$4,B4,'在途採購'!D$2:D$4,A4)</x:f>
        <x:v>0</x:v>
      </x:c>
      <x:c r="E4" s="14" t="n">
        <x:f>SUMIFS('日別領料'!F$2:F$80,'日別領料'!D$2:D$80,B4,'日別領料'!A$2:A$80,A4)</x:f>
        <x:v>0</x:v>
      </x:c>
      <x:c r="F4" s="14" t="n">
        <x:f>C4+D4-E4</x:f>
        <x:v>310</x:v>
      </x:c>
      <x:c r="G4" s="14" t="n">
        <x:f>'原物料庫存'!E4</x:f>
        <x:v>150</x:v>
      </x:c>
      <x:c r="H4" s="14" t="n">
        <x:f>F4-G4</x:f>
        <x:v>160</x:v>
      </x:c>
    </x:row>
    <x:row r="5" ht="30" customHeight="1">
      <x:c r="A5" s="13" t="n">
        <x:v>46279</x:v>
      </x:c>
      <x:c r="B5" s="7" t="str">
        <x:v>CH-HC-01</x:v>
      </x:c>
      <x:c r="C5" s="14" t="n">
        <x:f>'原物料庫存'!D5</x:f>
        <x:v>75</x:v>
      </x:c>
      <x:c r="D5" s="14" t="n">
        <x:f>SUMIFS('在途採購'!C$2:C$4,'在途採購'!B$2:B$4,B5,'在途採購'!D$2:D$4,A5)</x:f>
        <x:v>0</x:v>
      </x:c>
      <x:c r="E5" s="14" t="n">
        <x:f>SUMIFS('日別領料'!F$2:F$80,'日別領料'!D$2:D$80,B5,'日別領料'!A$2:A$80,A5)</x:f>
        <x:v>0</x:v>
      </x:c>
      <x:c r="F5" s="14" t="n">
        <x:f>C5+D5-E5</x:f>
        <x:v>75</x:v>
      </x:c>
      <x:c r="G5" s="14" t="n">
        <x:f>'原物料庫存'!E5</x:f>
        <x:v>50</x:v>
      </x:c>
      <x:c r="H5" s="14" t="n">
        <x:f>F5-G5</x:f>
        <x:v>25</x:v>
      </x:c>
    </x:row>
    <x:row r="6" ht="30" customHeight="1">
      <x:c r="A6" s="13" t="n">
        <x:v>46280</x:v>
      </x:c>
      <x:c r="B6" s="7" t="str">
        <x:v>RM-303-25</x:v>
      </x:c>
      <x:c r="C6" s="14" t="n">
        <x:f>F2</x:f>
        <x:v>824.6</x:v>
      </x:c>
      <x:c r="D6" s="14" t="n">
        <x:f>SUMIFS('在途採購'!C$2:C$4,'在途採購'!B$2:B$4,B6,'在途採購'!D$2:D$4,A6)</x:f>
        <x:v>0</x:v>
      </x:c>
      <x:c r="E6" s="14" t="n">
        <x:f>SUMIFS('日別領料'!F$2:F$80,'日別領料'!D$2:D$80,B6,'日別領料'!A$2:A$80,A6)</x:f>
        <x:v>95.4</x:v>
      </x:c>
      <x:c r="F6" s="14" t="n">
        <x:f>C6+D6-E6</x:f>
        <x:v>729.2</x:v>
      </x:c>
      <x:c r="G6" s="14" t="n">
        <x:f>'原物料庫存'!E2</x:f>
        <x:v>200</x:v>
      </x:c>
      <x:c r="H6" s="14" t="n">
        <x:f>F6-G6</x:f>
        <x:v>529.2</x:v>
      </x:c>
    </x:row>
    <x:row r="7" ht="30" customHeight="1">
      <x:c r="A7" s="13" t="n">
        <x:v>46280</x:v>
      </x:c>
      <x:c r="B7" s="7" t="str">
        <x:v>RM-303-30</x:v>
      </x:c>
      <x:c r="C7" s="14" t="n">
        <x:f>F3</x:f>
        <x:v>664</x:v>
      </x:c>
      <x:c r="D7" s="14" t="n">
        <x:f>SUMIFS('在途採購'!C$2:C$4,'在途採購'!B$2:B$4,B7,'在途採購'!D$2:D$4,A7)</x:f>
        <x:v>0</x:v>
      </x:c>
      <x:c r="E7" s="14" t="n">
        <x:f>SUMIFS('日別領料'!F$2:F$80,'日別領料'!D$2:D$80,B7,'日別領料'!A$2:A$80,A7)</x:f>
        <x:v>96</x:v>
      </x:c>
      <x:c r="F7" s="14" t="n">
        <x:f>C7+D7-E7</x:f>
        <x:v>568</x:v>
      </x:c>
      <x:c r="G7" s="14" t="n">
        <x:f>'原物料庫存'!E3</x:f>
        <x:v>200</x:v>
      </x:c>
      <x:c r="H7" s="14" t="n">
        <x:f>F7-G7</x:f>
        <x:v>368</x:v>
      </x:c>
    </x:row>
    <x:row r="8" ht="30" customHeight="1">
      <x:c r="A8" s="13" t="n">
        <x:v>46280</x:v>
      </x:c>
      <x:c r="B8" s="7" t="str">
        <x:v>RM-304-25</x:v>
      </x:c>
      <x:c r="C8" s="14" t="n">
        <x:f>F4</x:f>
        <x:v>310</x:v>
      </x:c>
      <x:c r="D8" s="14" t="n">
        <x:f>SUMIFS('在途採購'!C$2:C$4,'在途採購'!B$2:B$4,B8,'在途採購'!D$2:D$4,A8)</x:f>
        <x:v>0</x:v>
      </x:c>
      <x:c r="E8" s="14" t="n">
        <x:f>SUMIFS('日別領料'!F$2:F$80,'日別領料'!D$2:D$80,B8,'日別領料'!A$2:A$80,A8)</x:f>
        <x:v>0</x:v>
      </x:c>
      <x:c r="F8" s="14" t="n">
        <x:f>C8+D8-E8</x:f>
        <x:v>310</x:v>
      </x:c>
      <x:c r="G8" s="14" t="n">
        <x:f>'原物料庫存'!E4</x:f>
        <x:v>150</x:v>
      </x:c>
      <x:c r="H8" s="14" t="n">
        <x:f>F8-G8</x:f>
        <x:v>160</x:v>
      </x:c>
    </x:row>
    <x:row r="9" ht="30" customHeight="1">
      <x:c r="A9" s="13" t="n">
        <x:v>46280</x:v>
      </x:c>
      <x:c r="B9" s="7" t="str">
        <x:v>CH-HC-01</x:v>
      </x:c>
      <x:c r="C9" s="14" t="n">
        <x:f>F5</x:f>
        <x:v>75</x:v>
      </x:c>
      <x:c r="D9" s="14" t="n">
        <x:f>SUMIFS('在途採購'!C$2:C$4,'在途採購'!B$2:B$4,B9,'在途採購'!D$2:D$4,A9)</x:f>
        <x:v>0</x:v>
      </x:c>
      <x:c r="E9" s="14" t="n">
        <x:f>SUMIFS('日別領料'!F$2:F$80,'日別領料'!D$2:D$80,B9,'日別領料'!A$2:A$80,A9)</x:f>
        <x:v>1</x:v>
      </x:c>
      <x:c r="F9" s="14" t="n">
        <x:f>C9+D9-E9</x:f>
        <x:v>74</x:v>
      </x:c>
      <x:c r="G9" s="14" t="n">
        <x:f>'原物料庫存'!E5</x:f>
        <x:v>50</x:v>
      </x:c>
      <x:c r="H9" s="14" t="n">
        <x:f>F9-G9</x:f>
        <x:v>24</x:v>
      </x:c>
    </x:row>
    <x:row r="10" ht="30" customHeight="1">
      <x:c r="A10" s="13" t="n">
        <x:v>46281</x:v>
      </x:c>
      <x:c r="B10" s="7" t="str">
        <x:v>RM-303-25</x:v>
      </x:c>
      <x:c r="C10" s="14" t="n">
        <x:f>F6</x:f>
        <x:v>729.2</x:v>
      </x:c>
      <x:c r="D10" s="14" t="n">
        <x:f>SUMIFS('在途採購'!C$2:C$4,'在途採購'!B$2:B$4,B10,'在途採購'!D$2:D$4,A10)</x:f>
        <x:v>0</x:v>
      </x:c>
      <x:c r="E10" s="14" t="n">
        <x:f>SUMIFS('日別領料'!F$2:F$80,'日別領料'!D$2:D$80,B10,'日別領料'!A$2:A$80,A10)</x:f>
        <x:v>95.4</x:v>
      </x:c>
      <x:c r="F10" s="14" t="n">
        <x:f>C10+D10-E10</x:f>
        <x:v>633.8000000000001</x:v>
      </x:c>
      <x:c r="G10" s="14" t="n">
        <x:f>'原物料庫存'!E2</x:f>
        <x:v>200</x:v>
      </x:c>
      <x:c r="H10" s="14" t="n">
        <x:f>F10-G10</x:f>
        <x:v>433.80000000000007</x:v>
      </x:c>
    </x:row>
    <x:row r="11" ht="30" customHeight="1">
      <x:c r="A11" s="13" t="n">
        <x:v>46281</x:v>
      </x:c>
      <x:c r="B11" s="7" t="str">
        <x:v>RM-303-30</x:v>
      </x:c>
      <x:c r="C11" s="14" t="n">
        <x:f>F7</x:f>
        <x:v>568</x:v>
      </x:c>
      <x:c r="D11" s="14" t="n">
        <x:f>SUMIFS('在途採購'!C$2:C$4,'在途採購'!B$2:B$4,B11,'在途採購'!D$2:D$4,A11)</x:f>
        <x:v>500</x:v>
      </x:c>
      <x:c r="E11" s="14" t="n">
        <x:f>SUMIFS('日別領料'!F$2:F$80,'日別領料'!D$2:D$80,B11,'日別領料'!A$2:A$80,A11)</x:f>
        <x:v>96</x:v>
      </x:c>
      <x:c r="F11" s="14" t="n">
        <x:f>C11+D11-E11</x:f>
        <x:v>972</x:v>
      </x:c>
      <x:c r="G11" s="14" t="n">
        <x:f>'原物料庫存'!E3</x:f>
        <x:v>200</x:v>
      </x:c>
      <x:c r="H11" s="14" t="n">
        <x:f>F11-G11</x:f>
        <x:v>772</x:v>
      </x:c>
    </x:row>
    <x:row r="12" ht="30" customHeight="1">
      <x:c r="A12" s="13" t="n">
        <x:v>46281</x:v>
      </x:c>
      <x:c r="B12" s="7" t="str">
        <x:v>RM-304-25</x:v>
      </x:c>
      <x:c r="C12" s="14" t="n">
        <x:f>F8</x:f>
        <x:v>310</x:v>
      </x:c>
      <x:c r="D12" s="14" t="n">
        <x:f>SUMIFS('在途採購'!C$2:C$4,'在途採購'!B$2:B$4,B12,'在途採購'!D$2:D$4,A12)</x:f>
        <x:v>0</x:v>
      </x:c>
      <x:c r="E12" s="14" t="n">
        <x:f>SUMIFS('日別領料'!F$2:F$80,'日別領料'!D$2:D$80,B12,'日別領料'!A$2:A$80,A12)</x:f>
        <x:v>0</x:v>
      </x:c>
      <x:c r="F12" s="14" t="n">
        <x:f>C12+D12-E12</x:f>
        <x:v>310</x:v>
      </x:c>
      <x:c r="G12" s="14" t="n">
        <x:f>'原物料庫存'!E4</x:f>
        <x:v>150</x:v>
      </x:c>
      <x:c r="H12" s="14" t="n">
        <x:f>F12-G12</x:f>
        <x:v>160</x:v>
      </x:c>
    </x:row>
    <x:row r="13" ht="30" customHeight="1">
      <x:c r="A13" s="13" t="n">
        <x:v>46281</x:v>
      </x:c>
      <x:c r="B13" s="7" t="str">
        <x:v>CH-HC-01</x:v>
      </x:c>
      <x:c r="C13" s="14" t="n">
        <x:f>F9</x:f>
        <x:v>74</x:v>
      </x:c>
      <x:c r="D13" s="14" t="n">
        <x:f>SUMIFS('在途採購'!C$2:C$4,'在途採購'!B$2:B$4,B13,'在途採購'!D$2:D$4,A13)</x:f>
        <x:v>0</x:v>
      </x:c>
      <x:c r="E13" s="14" t="n">
        <x:f>SUMIFS('日別領料'!F$2:F$80,'日別領料'!D$2:D$80,B13,'日別領料'!A$2:A$80,A13)</x:f>
        <x:v>1</x:v>
      </x:c>
      <x:c r="F13" s="14" t="n">
        <x:f>C13+D13-E13</x:f>
        <x:v>73</x:v>
      </x:c>
      <x:c r="G13" s="14" t="n">
        <x:f>'原物料庫存'!E5</x:f>
        <x:v>50</x:v>
      </x:c>
      <x:c r="H13" s="14" t="n">
        <x:f>F13-G13</x:f>
        <x:v>23</x:v>
      </x:c>
    </x:row>
    <x:row r="14" ht="30" customHeight="1">
      <x:c r="A14" s="13" t="n">
        <x:v>46282</x:v>
      </x:c>
      <x:c r="B14" s="7" t="str">
        <x:v>RM-303-25</x:v>
      </x:c>
      <x:c r="C14" s="14" t="n">
        <x:f>F10</x:f>
        <x:v>633.8000000000001</x:v>
      </x:c>
      <x:c r="D14" s="14" t="n">
        <x:f>SUMIFS('在途採購'!C$2:C$4,'在途採購'!B$2:B$4,B14,'在途採購'!D$2:D$4,A14)</x:f>
        <x:v>0</x:v>
      </x:c>
      <x:c r="E14" s="14" t="n">
        <x:f>SUMIFS('日別領料'!F$2:F$80,'日別領料'!D$2:D$80,B14,'日別領料'!A$2:A$80,A14)</x:f>
        <x:v>126.89999999999999</x:v>
      </x:c>
      <x:c r="F14" s="14" t="n">
        <x:f>C14+D14-E14</x:f>
        <x:v>506.9000000000001</x:v>
      </x:c>
      <x:c r="G14" s="14" t="n">
        <x:f>'原物料庫存'!E2</x:f>
        <x:v>200</x:v>
      </x:c>
      <x:c r="H14" s="14" t="n">
        <x:f>F14-G14</x:f>
        <x:v>306.9000000000001</x:v>
      </x:c>
    </x:row>
    <x:row r="15" ht="30" customHeight="1">
      <x:c r="A15" s="13" t="n">
        <x:v>46282</x:v>
      </x:c>
      <x:c r="B15" s="7" t="str">
        <x:v>RM-303-30</x:v>
      </x:c>
      <x:c r="C15" s="14" t="n">
        <x:f>F11</x:f>
        <x:v>972</x:v>
      </x:c>
      <x:c r="D15" s="14" t="n">
        <x:f>SUMIFS('在途採購'!C$2:C$4,'在途採購'!B$2:B$4,B15,'在途採購'!D$2:D$4,A15)</x:f>
        <x:v>0</x:v>
      </x:c>
      <x:c r="E15" s="14" t="n">
        <x:f>SUMIFS('日別領料'!F$2:F$80,'日別領料'!D$2:D$80,B15,'日別領料'!A$2:A$80,A15)</x:f>
        <x:v>52</x:v>
      </x:c>
      <x:c r="F15" s="14" t="n">
        <x:f>C15+D15-E15</x:f>
        <x:v>920</x:v>
      </x:c>
      <x:c r="G15" s="14" t="n">
        <x:f>'原物料庫存'!E3</x:f>
        <x:v>200</x:v>
      </x:c>
      <x:c r="H15" s="14" t="n">
        <x:f>F15-G15</x:f>
        <x:v>720</x:v>
      </x:c>
    </x:row>
    <x:row r="16" ht="30" customHeight="1">
      <x:c r="A16" s="13" t="n">
        <x:v>46282</x:v>
      </x:c>
      <x:c r="B16" s="7" t="str">
        <x:v>RM-304-25</x:v>
      </x:c>
      <x:c r="C16" s="14" t="n">
        <x:f>F12</x:f>
        <x:v>310</x:v>
      </x:c>
      <x:c r="D16" s="14" t="n">
        <x:f>SUMIFS('在途採購'!C$2:C$4,'在途採購'!B$2:B$4,B16,'在途採購'!D$2:D$4,A16)</x:f>
        <x:v>0</x:v>
      </x:c>
      <x:c r="E16" s="14" t="n">
        <x:f>SUMIFS('日別領料'!F$2:F$80,'日別領料'!D$2:D$80,B16,'日別領料'!A$2:A$80,A16)</x:f>
        <x:v>0</x:v>
      </x:c>
      <x:c r="F16" s="14" t="n">
        <x:f>C16+D16-E16</x:f>
        <x:v>310</x:v>
      </x:c>
      <x:c r="G16" s="14" t="n">
        <x:f>'原物料庫存'!E4</x:f>
        <x:v>150</x:v>
      </x:c>
      <x:c r="H16" s="14" t="n">
        <x:f>F16-G16</x:f>
        <x:v>160</x:v>
      </x:c>
    </x:row>
    <x:row r="17" ht="30" customHeight="1">
      <x:c r="A17" s="13" t="n">
        <x:v>46282</x:v>
      </x:c>
      <x:c r="B17" s="7" t="str">
        <x:v>CH-HC-01</x:v>
      </x:c>
      <x:c r="C17" s="14" t="n">
        <x:f>F13</x:f>
        <x:v>73</x:v>
      </x:c>
      <x:c r="D17" s="14" t="n">
        <x:f>SUMIFS('在途採購'!C$2:C$4,'在途採購'!B$2:B$4,B17,'在途採購'!D$2:D$4,A17)</x:f>
        <x:v>0</x:v>
      </x:c>
      <x:c r="E17" s="14" t="n">
        <x:f>SUMIFS('日別領料'!F$2:F$80,'日別領料'!D$2:D$80,B17,'日別領料'!A$2:A$80,A17)</x:f>
        <x:v>1</x:v>
      </x:c>
      <x:c r="F17" s="14" t="n">
        <x:f>C17+D17-E17</x:f>
        <x:v>72</x:v>
      </x:c>
      <x:c r="G17" s="14" t="n">
        <x:f>'原物料庫存'!E5</x:f>
        <x:v>50</x:v>
      </x:c>
      <x:c r="H17" s="14" t="n">
        <x:f>F17-G17</x:f>
        <x:v>22</x:v>
      </x:c>
    </x:row>
    <x:row r="18" ht="30" customHeight="1">
      <x:c r="A18" s="13" t="n">
        <x:v>46283</x:v>
      </x:c>
      <x:c r="B18" s="7" t="str">
        <x:v>RM-303-25</x:v>
      </x:c>
      <x:c r="C18" s="14" t="n">
        <x:f>F14</x:f>
        <x:v>506.9000000000001</x:v>
      </x:c>
      <x:c r="D18" s="14" t="n">
        <x:f>SUMIFS('在途採購'!C$2:C$4,'在途採購'!B$2:B$4,B18,'在途採購'!D$2:D$4,A18)</x:f>
        <x:v>0</x:v>
      </x:c>
      <x:c r="E18" s="14" t="n">
        <x:f>SUMIFS('日別領料'!F$2:F$80,'日別領料'!D$2:D$80,B18,'日別領料'!A$2:A$80,A18)</x:f>
        <x:v>126.89999999999999</x:v>
      </x:c>
      <x:c r="F18" s="14" t="n">
        <x:f>C18+D18-E18</x:f>
        <x:v>380.0000000000001</x:v>
      </x:c>
      <x:c r="G18" s="14" t="n">
        <x:f>'原物料庫存'!E2</x:f>
        <x:v>200</x:v>
      </x:c>
      <x:c r="H18" s="14" t="n">
        <x:f>F18-G18</x:f>
        <x:v>180.0000000000001</x:v>
      </x:c>
    </x:row>
    <x:row r="19" ht="30" customHeight="1">
      <x:c r="A19" s="13" t="n">
        <x:v>46283</x:v>
      </x:c>
      <x:c r="B19" s="7" t="str">
        <x:v>RM-303-30</x:v>
      </x:c>
      <x:c r="C19" s="14" t="n">
        <x:f>F15</x:f>
        <x:v>920</x:v>
      </x:c>
      <x:c r="D19" s="14" t="n">
        <x:f>SUMIFS('在途採購'!C$2:C$4,'在途採購'!B$2:B$4,B19,'在途採購'!D$2:D$4,A19)</x:f>
        <x:v>0</x:v>
      </x:c>
      <x:c r="E19" s="14" t="n">
        <x:f>SUMIFS('日別領料'!F$2:F$80,'日別領料'!D$2:D$80,B19,'日別領料'!A$2:A$80,A19)</x:f>
        <x:v>52</x:v>
      </x:c>
      <x:c r="F19" s="14" t="n">
        <x:f>C19+D19-E19</x:f>
        <x:v>868</x:v>
      </x:c>
      <x:c r="G19" s="14" t="n">
        <x:f>'原物料庫存'!E3</x:f>
        <x:v>200</x:v>
      </x:c>
      <x:c r="H19" s="14" t="n">
        <x:f>F19-G19</x:f>
        <x:v>668</x:v>
      </x:c>
    </x:row>
    <x:row r="20" ht="30" customHeight="1">
      <x:c r="A20" s="13" t="n">
        <x:v>46283</x:v>
      </x:c>
      <x:c r="B20" s="7" t="str">
        <x:v>RM-304-25</x:v>
      </x:c>
      <x:c r="C20" s="14" t="n">
        <x:f>F16</x:f>
        <x:v>310</x:v>
      </x:c>
      <x:c r="D20" s="14" t="n">
        <x:f>SUMIFS('在途採購'!C$2:C$4,'在途採購'!B$2:B$4,B20,'在途採購'!D$2:D$4,A20)</x:f>
        <x:v>0</x:v>
      </x:c>
      <x:c r="E20" s="14" t="n">
        <x:f>SUMIFS('日別領料'!F$2:F$80,'日別領料'!D$2:D$80,B20,'日別領料'!A$2:A$80,A20)</x:f>
        <x:v>0</x:v>
      </x:c>
      <x:c r="F20" s="14" t="n">
        <x:f>C20+D20-E20</x:f>
        <x:v>310</x:v>
      </x:c>
      <x:c r="G20" s="14" t="n">
        <x:f>'原物料庫存'!E4</x:f>
        <x:v>150</x:v>
      </x:c>
      <x:c r="H20" s="14" t="n">
        <x:f>F20-G20</x:f>
        <x:v>160</x:v>
      </x:c>
    </x:row>
    <x:row r="21" ht="30" customHeight="1">
      <x:c r="A21" s="13" t="n">
        <x:v>46283</x:v>
      </x:c>
      <x:c r="B21" s="7" t="str">
        <x:v>CH-HC-01</x:v>
      </x:c>
      <x:c r="C21" s="14" t="n">
        <x:f>F17</x:f>
        <x:v>72</x:v>
      </x:c>
      <x:c r="D21" s="14" t="n">
        <x:f>SUMIFS('在途採購'!C$2:C$4,'在途採購'!B$2:B$4,B21,'在途採購'!D$2:D$4,A21)</x:f>
        <x:v>50</x:v>
      </x:c>
      <x:c r="E21" s="14" t="n">
        <x:f>SUMIFS('日別領料'!F$2:F$80,'日別領料'!D$2:D$80,B21,'日別領料'!A$2:A$80,A21)</x:f>
        <x:v>1</x:v>
      </x:c>
      <x:c r="F21" s="14" t="n">
        <x:f>C21+D21-E21</x:f>
        <x:v>121</x:v>
      </x:c>
      <x:c r="G21" s="14" t="n">
        <x:f>'原物料庫存'!E5</x:f>
        <x:v>50</x:v>
      </x:c>
      <x:c r="H21" s="14" t="n">
        <x:f>F21-G21</x:f>
        <x:v>71</x:v>
      </x:c>
    </x:row>
    <x:row r="22" ht="30" customHeight="1">
      <x:c r="A22" s="13" t="n">
        <x:v>46284</x:v>
      </x:c>
      <x:c r="B22" s="7" t="str">
        <x:v>RM-303-25</x:v>
      </x:c>
      <x:c r="C22" s="14" t="n">
        <x:f>F18</x:f>
        <x:v>380.0000000000001</x:v>
      </x:c>
      <x:c r="D22" s="14" t="n">
        <x:f>SUMIFS('在途採購'!C$2:C$4,'在途採購'!B$2:B$4,B22,'在途採購'!D$2:D$4,A22)</x:f>
        <x:v>0</x:v>
      </x:c>
      <x:c r="E22" s="14" t="n">
        <x:f>SUMIFS('日別領料'!F$2:F$80,'日別領料'!D$2:D$80,B22,'日別領料'!A$2:A$80,A22)</x:f>
        <x:v>0</x:v>
      </x:c>
      <x:c r="F22" s="14" t="n">
        <x:f>C22+D22-E22</x:f>
        <x:v>380.0000000000001</x:v>
      </x:c>
      <x:c r="G22" s="14" t="n">
        <x:f>'原物料庫存'!E2</x:f>
        <x:v>200</x:v>
      </x:c>
      <x:c r="H22" s="14" t="n">
        <x:f>F22-G22</x:f>
        <x:v>180.0000000000001</x:v>
      </x:c>
    </x:row>
    <x:row r="23" ht="30" customHeight="1">
      <x:c r="A23" s="13" t="n">
        <x:v>46284</x:v>
      </x:c>
      <x:c r="B23" s="7" t="str">
        <x:v>RM-303-30</x:v>
      </x:c>
      <x:c r="C23" s="14" t="n">
        <x:f>F19</x:f>
        <x:v>868</x:v>
      </x:c>
      <x:c r="D23" s="14" t="n">
        <x:f>SUMIFS('在途採購'!C$2:C$4,'在途採購'!B$2:B$4,B23,'在途採購'!D$2:D$4,A23)</x:f>
        <x:v>0</x:v>
      </x:c>
      <x:c r="E23" s="14" t="n">
        <x:f>SUMIFS('日別領料'!F$2:F$80,'日別領料'!D$2:D$80,B23,'日別領料'!A$2:A$80,A23)</x:f>
        <x:v>0</x:v>
      </x:c>
      <x:c r="F23" s="14" t="n">
        <x:f>C23+D23-E23</x:f>
        <x:v>868</x:v>
      </x:c>
      <x:c r="G23" s="14" t="n">
        <x:f>'原物料庫存'!E3</x:f>
        <x:v>200</x:v>
      </x:c>
      <x:c r="H23" s="14" t="n">
        <x:f>F23-G23</x:f>
        <x:v>668</x:v>
      </x:c>
    </x:row>
    <x:row r="24" ht="30" customHeight="1">
      <x:c r="A24" s="13" t="n">
        <x:v>46284</x:v>
      </x:c>
      <x:c r="B24" s="7" t="str">
        <x:v>RM-304-25</x:v>
      </x:c>
      <x:c r="C24" s="14" t="n">
        <x:f>F20</x:f>
        <x:v>310</x:v>
      </x:c>
      <x:c r="D24" s="14" t="n">
        <x:f>SUMIFS('在途採購'!C$2:C$4,'在途採購'!B$2:B$4,B24,'在途採購'!D$2:D$4,A24)</x:f>
        <x:v>0</x:v>
      </x:c>
      <x:c r="E24" s="14" t="n">
        <x:f>SUMIFS('日別領料'!F$2:F$80,'日別領料'!D$2:D$80,B24,'日別領料'!A$2:A$80,A24)</x:f>
        <x:v>0</x:v>
      </x:c>
      <x:c r="F24" s="14" t="n">
        <x:f>C24+D24-E24</x:f>
        <x:v>310</x:v>
      </x:c>
      <x:c r="G24" s="14" t="n">
        <x:f>'原物料庫存'!E4</x:f>
        <x:v>150</x:v>
      </x:c>
      <x:c r="H24" s="14" t="n">
        <x:f>F24-G24</x:f>
        <x:v>160</x:v>
      </x:c>
    </x:row>
    <x:row r="25" ht="30" customHeight="1">
      <x:c r="A25" s="13" t="n">
        <x:v>46284</x:v>
      </x:c>
      <x:c r="B25" s="7" t="str">
        <x:v>CH-HC-01</x:v>
      </x:c>
      <x:c r="C25" s="14" t="n">
        <x:f>F21</x:f>
        <x:v>121</x:v>
      </x:c>
      <x:c r="D25" s="14" t="n">
        <x:f>SUMIFS('在途採購'!C$2:C$4,'在途採購'!B$2:B$4,B25,'在途採購'!D$2:D$4,A25)</x:f>
        <x:v>0</x:v>
      </x:c>
      <x:c r="E25" s="14" t="n">
        <x:f>SUMIFS('日別領料'!F$2:F$80,'日別領料'!D$2:D$80,B25,'日別領料'!A$2:A$80,A25)</x:f>
        <x:v>0</x:v>
      </x:c>
      <x:c r="F25" s="14" t="n">
        <x:f>C25+D25-E25</x:f>
        <x:v>121</x:v>
      </x:c>
      <x:c r="G25" s="14" t="n">
        <x:f>'原物料庫存'!E5</x:f>
        <x:v>50</x:v>
      </x:c>
      <x:c r="H25" s="14" t="n">
        <x:f>F25-G25</x:f>
        <x:v>71</x:v>
      </x:c>
    </x:row>
    <x:row r="26" ht="30" customHeight="1">
      <x:c r="A26" s="13" t="n">
        <x:v>46285</x:v>
      </x:c>
      <x:c r="B26" s="7" t="str">
        <x:v>RM-303-25</x:v>
      </x:c>
      <x:c r="C26" s="14" t="n">
        <x:f>F22</x:f>
        <x:v>380.0000000000001</x:v>
      </x:c>
      <x:c r="D26" s="14" t="n">
        <x:f>SUMIFS('在途採購'!C$2:C$4,'在途採購'!B$2:B$4,B26,'在途採購'!D$2:D$4,A26)</x:f>
        <x:v>0</x:v>
      </x:c>
      <x:c r="E26" s="14" t="n">
        <x:f>SUMIFS('日別領料'!F$2:F$80,'日別領料'!D$2:D$80,B26,'日別領料'!A$2:A$80,A26)</x:f>
        <x:v>0</x:v>
      </x:c>
      <x:c r="F26" s="14" t="n">
        <x:f>C26+D26-E26</x:f>
        <x:v>380.0000000000001</x:v>
      </x:c>
      <x:c r="G26" s="14" t="n">
        <x:f>'原物料庫存'!E2</x:f>
        <x:v>200</x:v>
      </x:c>
      <x:c r="H26" s="14" t="n">
        <x:f>F26-G26</x:f>
        <x:v>180.0000000000001</x:v>
      </x:c>
    </x:row>
    <x:row r="27" ht="30" customHeight="1">
      <x:c r="A27" s="13" t="n">
        <x:v>46285</x:v>
      </x:c>
      <x:c r="B27" s="7" t="str">
        <x:v>RM-303-30</x:v>
      </x:c>
      <x:c r="C27" s="14" t="n">
        <x:f>F23</x:f>
        <x:v>868</x:v>
      </x:c>
      <x:c r="D27" s="14" t="n">
        <x:f>SUMIFS('在途採購'!C$2:C$4,'在途採購'!B$2:B$4,B27,'在途採購'!D$2:D$4,A27)</x:f>
        <x:v>0</x:v>
      </x:c>
      <x:c r="E27" s="14" t="n">
        <x:f>SUMIFS('日別領料'!F$2:F$80,'日別領料'!D$2:D$80,B27,'日別領料'!A$2:A$80,A27)</x:f>
        <x:v>0</x:v>
      </x:c>
      <x:c r="F27" s="14" t="n">
        <x:f>C27+D27-E27</x:f>
        <x:v>868</x:v>
      </x:c>
      <x:c r="G27" s="14" t="n">
        <x:f>'原物料庫存'!E3</x:f>
        <x:v>200</x:v>
      </x:c>
      <x:c r="H27" s="14" t="n">
        <x:f>F27-G27</x:f>
        <x:v>668</x:v>
      </x:c>
    </x:row>
    <x:row r="28" ht="30" customHeight="1">
      <x:c r="A28" s="13" t="n">
        <x:v>46285</x:v>
      </x:c>
      <x:c r="B28" s="7" t="str">
        <x:v>RM-304-25</x:v>
      </x:c>
      <x:c r="C28" s="14" t="n">
        <x:f>F24</x:f>
        <x:v>310</x:v>
      </x:c>
      <x:c r="D28" s="14" t="n">
        <x:f>SUMIFS('在途採購'!C$2:C$4,'在途採購'!B$2:B$4,B28,'在途採購'!D$2:D$4,A28)</x:f>
        <x:v>0</x:v>
      </x:c>
      <x:c r="E28" s="14" t="n">
        <x:f>SUMIFS('日別領料'!F$2:F$80,'日別領料'!D$2:D$80,B28,'日別領料'!A$2:A$80,A28)</x:f>
        <x:v>0</x:v>
      </x:c>
      <x:c r="F28" s="14" t="n">
        <x:f>C28+D28-E28</x:f>
        <x:v>310</x:v>
      </x:c>
      <x:c r="G28" s="14" t="n">
        <x:f>'原物料庫存'!E4</x:f>
        <x:v>150</x:v>
      </x:c>
      <x:c r="H28" s="14" t="n">
        <x:f>F28-G28</x:f>
        <x:v>160</x:v>
      </x:c>
    </x:row>
    <x:row r="29" ht="30" customHeight="1">
      <x:c r="A29" s="13" t="n">
        <x:v>46285</x:v>
      </x:c>
      <x:c r="B29" s="7" t="str">
        <x:v>CH-HC-01</x:v>
      </x:c>
      <x:c r="C29" s="14" t="n">
        <x:f>F25</x:f>
        <x:v>121</x:v>
      </x:c>
      <x:c r="D29" s="14" t="n">
        <x:f>SUMIFS('在途採購'!C$2:C$4,'在途採購'!B$2:B$4,B29,'在途採購'!D$2:D$4,A29)</x:f>
        <x:v>0</x:v>
      </x:c>
      <x:c r="E29" s="14" t="n">
        <x:f>SUMIFS('日別領料'!F$2:F$80,'日別領料'!D$2:D$80,B29,'日別領料'!A$2:A$80,A29)</x:f>
        <x:v>0</x:v>
      </x:c>
      <x:c r="F29" s="14" t="n">
        <x:f>C29+D29-E29</x:f>
        <x:v>121</x:v>
      </x:c>
      <x:c r="G29" s="14" t="n">
        <x:f>'原物料庫存'!E5</x:f>
        <x:v>50</x:v>
      </x:c>
      <x:c r="H29" s="14" t="n">
        <x:f>F29-G29</x:f>
        <x:v>71</x:v>
      </x:c>
    </x:row>
    <x:row r="30" ht="30" customHeight="1">
      <x:c r="A30" s="13" t="n">
        <x:v>46286</x:v>
      </x:c>
      <x:c r="B30" s="7" t="str">
        <x:v>RM-303-25</x:v>
      </x:c>
      <x:c r="C30" s="14" t="n">
        <x:f>F26</x:f>
        <x:v>380.0000000000001</x:v>
      </x:c>
      <x:c r="D30" s="14" t="n">
        <x:f>SUMIFS('在途採購'!C$2:C$4,'在途採購'!B$2:B$4,B30,'在途採購'!D$2:D$4,A30)</x:f>
        <x:v>0</x:v>
      </x:c>
      <x:c r="E30" s="14" t="n">
        <x:f>SUMIFS('日別領料'!F$2:F$80,'日別領料'!D$2:D$80,B30,'日別領料'!A$2:A$80,A30)</x:f>
        <x:v>34</x:v>
      </x:c>
      <x:c r="F30" s="14" t="n">
        <x:f>C30+D30-E30</x:f>
        <x:v>346.0000000000001</x:v>
      </x:c>
      <x:c r="G30" s="14" t="n">
        <x:f>'原物料庫存'!E2</x:f>
        <x:v>200</x:v>
      </x:c>
      <x:c r="H30" s="14" t="n">
        <x:f>F30-G30</x:f>
        <x:v>146.0000000000001</x:v>
      </x:c>
    </x:row>
    <x:row r="31" ht="30" customHeight="1">
      <x:c r="A31" s="13" t="n">
        <x:v>46286</x:v>
      </x:c>
      <x:c r="B31" s="7" t="str">
        <x:v>RM-303-30</x:v>
      </x:c>
      <x:c r="C31" s="14" t="n">
        <x:f>F27</x:f>
        <x:v>868</x:v>
      </x:c>
      <x:c r="D31" s="14" t="n">
        <x:f>SUMIFS('在途採購'!C$2:C$4,'在途採購'!B$2:B$4,B31,'在途採購'!D$2:D$4,A31)</x:f>
        <x:v>0</x:v>
      </x:c>
      <x:c r="E31" s="14" t="n">
        <x:f>SUMIFS('日別領料'!F$2:F$80,'日別領料'!D$2:D$80,B31,'日別領料'!A$2:A$80,A31)</x:f>
        <x:v>0</x:v>
      </x:c>
      <x:c r="F31" s="14" t="n">
        <x:f>C31+D31-E31</x:f>
        <x:v>868</x:v>
      </x:c>
      <x:c r="G31" s="14" t="n">
        <x:f>'原物料庫存'!E3</x:f>
        <x:v>200</x:v>
      </x:c>
      <x:c r="H31" s="14" t="n">
        <x:f>F31-G31</x:f>
        <x:v>668</x:v>
      </x:c>
    </x:row>
    <x:row r="32" ht="30" customHeight="1">
      <x:c r="A32" s="13" t="n">
        <x:v>46286</x:v>
      </x:c>
      <x:c r="B32" s="7" t="str">
        <x:v>RM-304-25</x:v>
      </x:c>
      <x:c r="C32" s="14" t="n">
        <x:f>F28</x:f>
        <x:v>310</x:v>
      </x:c>
      <x:c r="D32" s="14" t="n">
        <x:f>SUMIFS('在途採購'!C$2:C$4,'在途採購'!B$2:B$4,B32,'在途採購'!D$2:D$4,A32)</x:f>
        <x:v>0</x:v>
      </x:c>
      <x:c r="E32" s="14" t="n">
        <x:f>SUMIFS('日別領料'!F$2:F$80,'日別領料'!D$2:D$80,B32,'日別領料'!A$2:A$80,A32)</x:f>
        <x:v>0</x:v>
      </x:c>
      <x:c r="F32" s="14" t="n">
        <x:f>C32+D32-E32</x:f>
        <x:v>310</x:v>
      </x:c>
      <x:c r="G32" s="14" t="n">
        <x:f>'原物料庫存'!E4</x:f>
        <x:v>150</x:v>
      </x:c>
      <x:c r="H32" s="14" t="n">
        <x:f>F32-G32</x:f>
        <x:v>160</x:v>
      </x:c>
    </x:row>
    <x:row r="33" ht="30" customHeight="1">
      <x:c r="A33" s="13" t="n">
        <x:v>46286</x:v>
      </x:c>
      <x:c r="B33" s="7" t="str">
        <x:v>CH-HC-01</x:v>
      </x:c>
      <x:c r="C33" s="14" t="n">
        <x:f>F29</x:f>
        <x:v>121</x:v>
      </x:c>
      <x:c r="D33" s="14" t="n">
        <x:f>SUMIFS('在途採購'!C$2:C$4,'在途採購'!B$2:B$4,B33,'在途採購'!D$2:D$4,A33)</x:f>
        <x:v>0</x:v>
      </x:c>
      <x:c r="E33" s="14" t="n">
        <x:f>SUMIFS('日別領料'!F$2:F$80,'日別領料'!D$2:D$80,B33,'日別領料'!A$2:A$80,A33)</x:f>
        <x:v>1</x:v>
      </x:c>
      <x:c r="F33" s="14" t="n">
        <x:f>C33+D33-E33</x:f>
        <x:v>120</x:v>
      </x:c>
      <x:c r="G33" s="14" t="n">
        <x:f>'原物料庫存'!E5</x:f>
        <x:v>50</x:v>
      </x:c>
      <x:c r="H33" s="14" t="n">
        <x:f>F33-G33</x:f>
        <x:v>70</x:v>
      </x:c>
    </x:row>
    <x:row r="34" ht="30" customHeight="1">
      <x:c r="A34" s="13" t="n">
        <x:v>46287</x:v>
      </x:c>
      <x:c r="B34" s="7" t="str">
        <x:v>RM-303-25</x:v>
      </x:c>
      <x:c r="C34" s="14" t="n">
        <x:f>F30</x:f>
        <x:v>346.0000000000001</x:v>
      </x:c>
      <x:c r="D34" s="14" t="n">
        <x:f>SUMIFS('在途採購'!C$2:C$4,'在途採購'!B$2:B$4,B34,'在途採購'!D$2:D$4,A34)</x:f>
        <x:v>0</x:v>
      </x:c>
      <x:c r="E34" s="14" t="n">
        <x:f>SUMIFS('日別領料'!F$2:F$80,'日別領料'!D$2:D$80,B34,'日別領料'!A$2:A$80,A34)</x:f>
        <x:v>34</x:v>
      </x:c>
      <x:c r="F34" s="14" t="n">
        <x:f>C34+D34-E34</x:f>
        <x:v>312.0000000000001</x:v>
      </x:c>
      <x:c r="G34" s="14" t="n">
        <x:f>'原物料庫存'!E2</x:f>
        <x:v>200</x:v>
      </x:c>
      <x:c r="H34" s="14" t="n">
        <x:f>F34-G34</x:f>
        <x:v>112.00000000000011</x:v>
      </x:c>
    </x:row>
    <x:row r="35" ht="30" customHeight="1">
      <x:c r="A35" s="13" t="n">
        <x:v>46287</x:v>
      </x:c>
      <x:c r="B35" s="7" t="str">
        <x:v>RM-303-30</x:v>
      </x:c>
      <x:c r="C35" s="14" t="n">
        <x:f>F31</x:f>
        <x:v>868</x:v>
      </x:c>
      <x:c r="D35" s="14" t="n">
        <x:f>SUMIFS('在途採購'!C$2:C$4,'在途採購'!B$2:B$4,B35,'在途採購'!D$2:D$4,A35)</x:f>
        <x:v>0</x:v>
      </x:c>
      <x:c r="E35" s="14" t="n">
        <x:f>SUMIFS('日別領料'!F$2:F$80,'日別領料'!D$2:D$80,B35,'日別領料'!A$2:A$80,A35)</x:f>
        <x:v>0</x:v>
      </x:c>
      <x:c r="F35" s="14" t="n">
        <x:f>C35+D35-E35</x:f>
        <x:v>868</x:v>
      </x:c>
      <x:c r="G35" s="14" t="n">
        <x:f>'原物料庫存'!E3</x:f>
        <x:v>200</x:v>
      </x:c>
      <x:c r="H35" s="14" t="n">
        <x:f>F35-G35</x:f>
        <x:v>668</x:v>
      </x:c>
    </x:row>
    <x:row r="36" ht="30" customHeight="1">
      <x:c r="A36" s="13" t="n">
        <x:v>46287</x:v>
      </x:c>
      <x:c r="B36" s="7" t="str">
        <x:v>RM-304-25</x:v>
      </x:c>
      <x:c r="C36" s="14" t="n">
        <x:f>F32</x:f>
        <x:v>310</x:v>
      </x:c>
      <x:c r="D36" s="14" t="n">
        <x:f>SUMIFS('在途採購'!C$2:C$4,'在途採購'!B$2:B$4,B36,'在途採購'!D$2:D$4,A36)</x:f>
        <x:v>0</x:v>
      </x:c>
      <x:c r="E36" s="14" t="n">
        <x:f>SUMIFS('日別領料'!F$2:F$80,'日別領料'!D$2:D$80,B36,'日別領料'!A$2:A$80,A36)</x:f>
        <x:v>50</x:v>
      </x:c>
      <x:c r="F36" s="14" t="n">
        <x:f>C36+D36-E36</x:f>
        <x:v>260</x:v>
      </x:c>
      <x:c r="G36" s="14" t="n">
        <x:f>'原物料庫存'!E4</x:f>
        <x:v>150</x:v>
      </x:c>
      <x:c r="H36" s="14" t="n">
        <x:f>F36-G36</x:f>
        <x:v>110</x:v>
      </x:c>
    </x:row>
    <x:row r="37" ht="30" customHeight="1">
      <x:c r="A37" s="13" t="n">
        <x:v>46287</x:v>
      </x:c>
      <x:c r="B37" s="7" t="str">
        <x:v>CH-HC-01</x:v>
      </x:c>
      <x:c r="C37" s="14" t="n">
        <x:f>F33</x:f>
        <x:v>120</x:v>
      </x:c>
      <x:c r="D37" s="14" t="n">
        <x:f>SUMIFS('在途採購'!C$2:C$4,'在途採購'!B$2:B$4,B37,'在途採購'!D$2:D$4,A37)</x:f>
        <x:v>0</x:v>
      </x:c>
      <x:c r="E37" s="14" t="n">
        <x:f>SUMIFS('日別領料'!F$2:F$80,'日別領料'!D$2:D$80,B37,'日別領料'!A$2:A$80,A37)</x:f>
        <x:v>2</x:v>
      </x:c>
      <x:c r="F37" s="14" t="n">
        <x:f>C37+D37-E37</x:f>
        <x:v>118</x:v>
      </x:c>
      <x:c r="G37" s="14" t="n">
        <x:f>'原物料庫存'!E5</x:f>
        <x:v>50</x:v>
      </x:c>
      <x:c r="H37" s="14" t="n">
        <x:f>F37-G37</x:f>
        <x:v>68</x:v>
      </x:c>
    </x:row>
    <x:row r="38" ht="30" customHeight="1">
      <x:c r="A38" s="13" t="n">
        <x:v>46288</x:v>
      </x:c>
      <x:c r="B38" s="7" t="str">
        <x:v>RM-303-25</x:v>
      </x:c>
      <x:c r="C38" s="14" t="n">
        <x:f>F34</x:f>
        <x:v>312.0000000000001</x:v>
      </x:c>
      <x:c r="D38" s="14" t="n">
        <x:f>SUMIFS('在途採購'!C$2:C$4,'在途採購'!B$2:B$4,B38,'在途採購'!D$2:D$4,A38)</x:f>
        <x:v>0</x:v>
      </x:c>
      <x:c r="E38" s="14" t="n">
        <x:f>SUMIFS('日別領料'!F$2:F$80,'日別領料'!D$2:D$80,B38,'日別領料'!A$2:A$80,A38)</x:f>
        <x:v>34</x:v>
      </x:c>
      <x:c r="F38" s="14" t="n">
        <x:f>C38+D38-E38</x:f>
        <x:v>278.0000000000001</x:v>
      </x:c>
      <x:c r="G38" s="14" t="n">
        <x:f>'原物料庫存'!E2</x:f>
        <x:v>200</x:v>
      </x:c>
      <x:c r="H38" s="14" t="n">
        <x:f>F38-G38</x:f>
        <x:v>78.00000000000011</x:v>
      </x:c>
    </x:row>
    <x:row r="39" ht="30" customHeight="1">
      <x:c r="A39" s="13" t="n">
        <x:v>46288</x:v>
      </x:c>
      <x:c r="B39" s="7" t="str">
        <x:v>RM-303-30</x:v>
      </x:c>
      <x:c r="C39" s="14" t="n">
        <x:f>F35</x:f>
        <x:v>868</x:v>
      </x:c>
      <x:c r="D39" s="14" t="n">
        <x:f>SUMIFS('在途採購'!C$2:C$4,'在途採購'!B$2:B$4,B39,'在途採購'!D$2:D$4,A39)</x:f>
        <x:v>0</x:v>
      </x:c>
      <x:c r="E39" s="14" t="n">
        <x:f>SUMIFS('日別領料'!F$2:F$80,'日別領料'!D$2:D$80,B39,'日別領料'!A$2:A$80,A39)</x:f>
        <x:v>0</x:v>
      </x:c>
      <x:c r="F39" s="14" t="n">
        <x:f>C39+D39-E39</x:f>
        <x:v>868</x:v>
      </x:c>
      <x:c r="G39" s="14" t="n">
        <x:f>'原物料庫存'!E3</x:f>
        <x:v>200</x:v>
      </x:c>
      <x:c r="H39" s="14" t="n">
        <x:f>F39-G39</x:f>
        <x:v>668</x:v>
      </x:c>
    </x:row>
    <x:row r="40" ht="30" customHeight="1">
      <x:c r="A40" s="13" t="n">
        <x:v>46288</x:v>
      </x:c>
      <x:c r="B40" s="7" t="str">
        <x:v>RM-304-25</x:v>
      </x:c>
      <x:c r="C40" s="14" t="n">
        <x:f>F36</x:f>
        <x:v>260</x:v>
      </x:c>
      <x:c r="D40" s="14" t="n">
        <x:f>SUMIFS('在途採購'!C$2:C$4,'在途採購'!B$2:B$4,B40,'在途採購'!D$2:D$4,A40)</x:f>
        <x:v>0</x:v>
      </x:c>
      <x:c r="E40" s="14" t="n">
        <x:f>SUMIFS('日別領料'!F$2:F$80,'日別領料'!D$2:D$80,B40,'日別領料'!A$2:A$80,A40)</x:f>
        <x:v>50</x:v>
      </x:c>
      <x:c r="F40" s="14" t="n">
        <x:f>C40+D40-E40</x:f>
        <x:v>210</x:v>
      </x:c>
      <x:c r="G40" s="14" t="n">
        <x:f>'原物料庫存'!E4</x:f>
        <x:v>150</x:v>
      </x:c>
      <x:c r="H40" s="14" t="n">
        <x:f>F40-G40</x:f>
        <x:v>60</x:v>
      </x:c>
    </x:row>
    <x:row r="41" ht="30" customHeight="1">
      <x:c r="A41" s="13" t="n">
        <x:v>46288</x:v>
      </x:c>
      <x:c r="B41" s="7" t="str">
        <x:v>CH-HC-01</x:v>
      </x:c>
      <x:c r="C41" s="14" t="n">
        <x:f>F37</x:f>
        <x:v>118</x:v>
      </x:c>
      <x:c r="D41" s="14" t="n">
        <x:f>SUMIFS('在途採購'!C$2:C$4,'在途採購'!B$2:B$4,B41,'在途採購'!D$2:D$4,A41)</x:f>
        <x:v>0</x:v>
      </x:c>
      <x:c r="E41" s="14" t="n">
        <x:f>SUMIFS('日別領料'!F$2:F$80,'日別領料'!D$2:D$80,B41,'日別領料'!A$2:A$80,A41)</x:f>
        <x:v>2</x:v>
      </x:c>
      <x:c r="F41" s="14" t="n">
        <x:f>C41+D41-E41</x:f>
        <x:v>116</x:v>
      </x:c>
      <x:c r="G41" s="14" t="n">
        <x:f>'原物料庫存'!E5</x:f>
        <x:v>50</x:v>
      </x:c>
      <x:c r="H41" s="14" t="n">
        <x:f>F41-G41</x:f>
        <x:v>66</x:v>
      </x:c>
    </x:row>
    <x:row r="42" ht="30" customHeight="1">
      <x:c r="A42" s="13" t="n">
        <x:v>46289</x:v>
      </x:c>
      <x:c r="B42" s="7" t="str">
        <x:v>RM-303-25</x:v>
      </x:c>
      <x:c r="C42" s="14" t="n">
        <x:f>F38</x:f>
        <x:v>278.0000000000001</x:v>
      </x:c>
      <x:c r="D42" s="14" t="n">
        <x:f>SUMIFS('在途採購'!C$2:C$4,'在途採購'!B$2:B$4,B42,'在途採購'!D$2:D$4,A42)</x:f>
        <x:v>0</x:v>
      </x:c>
      <x:c r="E42" s="14" t="n">
        <x:f>SUMIFS('日別領料'!F$2:F$80,'日別領料'!D$2:D$80,B42,'日別領料'!A$2:A$80,A42)</x:f>
        <x:v>34</x:v>
      </x:c>
      <x:c r="F42" s="14" t="n">
        <x:f>C42+D42-E42</x:f>
        <x:v>244.0000000000001</x:v>
      </x:c>
      <x:c r="G42" s="14" t="n">
        <x:f>'原物料庫存'!E2</x:f>
        <x:v>200</x:v>
      </x:c>
      <x:c r="H42" s="14" t="n">
        <x:f>F42-G42</x:f>
        <x:v>44.000000000000114</x:v>
      </x:c>
    </x:row>
    <x:row r="43" ht="30" customHeight="1">
      <x:c r="A43" s="13" t="n">
        <x:v>46289</x:v>
      </x:c>
      <x:c r="B43" s="7" t="str">
        <x:v>RM-303-30</x:v>
      </x:c>
      <x:c r="C43" s="14" t="n">
        <x:f>F39</x:f>
        <x:v>868</x:v>
      </x:c>
      <x:c r="D43" s="14" t="n">
        <x:f>SUMIFS('在途採購'!C$2:C$4,'在途採購'!B$2:B$4,B43,'在途採購'!D$2:D$4,A43)</x:f>
        <x:v>0</x:v>
      </x:c>
      <x:c r="E43" s="14" t="n">
        <x:f>SUMIFS('日別領料'!F$2:F$80,'日別領料'!D$2:D$80,B43,'日別領料'!A$2:A$80,A43)</x:f>
        <x:v>0</x:v>
      </x:c>
      <x:c r="F43" s="14" t="n">
        <x:f>C43+D43-E43</x:f>
        <x:v>868</x:v>
      </x:c>
      <x:c r="G43" s="14" t="n">
        <x:f>'原物料庫存'!E3</x:f>
        <x:v>200</x:v>
      </x:c>
      <x:c r="H43" s="14" t="n">
        <x:f>F43-G43</x:f>
        <x:v>668</x:v>
      </x:c>
    </x:row>
    <x:row r="44" ht="30" customHeight="1">
      <x:c r="A44" s="13" t="n">
        <x:v>46289</x:v>
      </x:c>
      <x:c r="B44" s="7" t="str">
        <x:v>RM-304-25</x:v>
      </x:c>
      <x:c r="C44" s="14" t="n">
        <x:f>F40</x:f>
        <x:v>210</x:v>
      </x:c>
      <x:c r="D44" s="14" t="n">
        <x:f>SUMIFS('在途採購'!C$2:C$4,'在途採購'!B$2:B$4,B44,'在途採購'!D$2:D$4,A44)</x:f>
        <x:v>0</x:v>
      </x:c>
      <x:c r="E44" s="14" t="n">
        <x:f>SUMIFS('日別領料'!F$2:F$80,'日別領料'!D$2:D$80,B44,'日別領料'!A$2:A$80,A44)</x:f>
        <x:v>0</x:v>
      </x:c>
      <x:c r="F44" s="14" t="n">
        <x:f>C44+D44-E44</x:f>
        <x:v>210</x:v>
      </x:c>
      <x:c r="G44" s="14" t="n">
        <x:f>'原物料庫存'!E4</x:f>
        <x:v>150</x:v>
      </x:c>
      <x:c r="H44" s="14" t="n">
        <x:f>F44-G44</x:f>
        <x:v>60</x:v>
      </x:c>
    </x:row>
    <x:row r="45" ht="30" customHeight="1">
      <x:c r="A45" s="13" t="n">
        <x:v>46289</x:v>
      </x:c>
      <x:c r="B45" s="7" t="str">
        <x:v>CH-HC-01</x:v>
      </x:c>
      <x:c r="C45" s="14" t="n">
        <x:f>F41</x:f>
        <x:v>116</x:v>
      </x:c>
      <x:c r="D45" s="14" t="n">
        <x:f>SUMIFS('在途採購'!C$2:C$4,'在途採購'!B$2:B$4,B45,'在途採購'!D$2:D$4,A45)</x:f>
        <x:v>0</x:v>
      </x:c>
      <x:c r="E45" s="14" t="n">
        <x:f>SUMIFS('日別領料'!F$2:F$80,'日別領料'!D$2:D$80,B45,'日別領料'!A$2:A$80,A45)</x:f>
        <x:v>2</x:v>
      </x:c>
      <x:c r="F45" s="14" t="n">
        <x:f>C45+D45-E45</x:f>
        <x:v>114</x:v>
      </x:c>
      <x:c r="G45" s="14" t="n">
        <x:f>'原物料庫存'!E5</x:f>
        <x:v>50</x:v>
      </x:c>
      <x:c r="H45" s="14" t="n">
        <x:f>F45-G45</x:f>
        <x:v>64</x:v>
      </x:c>
    </x:row>
    <x:row r="46" ht="30" customHeight="1">
      <x:c r="A46" s="13" t="n">
        <x:v>46290</x:v>
      </x:c>
      <x:c r="B46" s="7" t="str">
        <x:v>RM-303-25</x:v>
      </x:c>
      <x:c r="C46" s="14" t="n">
        <x:f>F42</x:f>
        <x:v>244.0000000000001</x:v>
      </x:c>
      <x:c r="D46" s="14" t="n">
        <x:f>SUMIFS('在途採購'!C$2:C$4,'在途採購'!B$2:B$4,B46,'在途採購'!D$2:D$4,A46)</x:f>
        <x:v>0</x:v>
      </x:c>
      <x:c r="E46" s="14" t="n">
        <x:f>SUMIFS('日別領料'!F$2:F$80,'日別領料'!D$2:D$80,B46,'日別領料'!A$2:A$80,A46)</x:f>
        <x:v>0</x:v>
      </x:c>
      <x:c r="F46" s="14" t="n">
        <x:f>C46+D46-E46</x:f>
        <x:v>244.0000000000001</x:v>
      </x:c>
      <x:c r="G46" s="14" t="n">
        <x:f>'原物料庫存'!E2</x:f>
        <x:v>200</x:v>
      </x:c>
      <x:c r="H46" s="14" t="n">
        <x:f>F46-G46</x:f>
        <x:v>44.000000000000114</x:v>
      </x:c>
    </x:row>
    <x:row r="47" ht="30" customHeight="1">
      <x:c r="A47" s="13" t="n">
        <x:v>46290</x:v>
      </x:c>
      <x:c r="B47" s="7" t="str">
        <x:v>RM-303-30</x:v>
      </x:c>
      <x:c r="C47" s="14" t="n">
        <x:f>F43</x:f>
        <x:v>868</x:v>
      </x:c>
      <x:c r="D47" s="14" t="n">
        <x:f>SUMIFS('在途採購'!C$2:C$4,'在途採購'!B$2:B$4,B47,'在途採購'!D$2:D$4,A47)</x:f>
        <x:v>0</x:v>
      </x:c>
      <x:c r="E47" s="14" t="n">
        <x:f>SUMIFS('日別領料'!F$2:F$80,'日別領料'!D$2:D$80,B47,'日別領料'!A$2:A$80,A47)</x:f>
        <x:v>0</x:v>
      </x:c>
      <x:c r="F47" s="14" t="n">
        <x:f>C47+D47-E47</x:f>
        <x:v>868</x:v>
      </x:c>
      <x:c r="G47" s="14" t="n">
        <x:f>'原物料庫存'!E3</x:f>
        <x:v>200</x:v>
      </x:c>
      <x:c r="H47" s="14" t="n">
        <x:f>F47-G47</x:f>
        <x:v>668</x:v>
      </x:c>
    </x:row>
    <x:row r="48" ht="30" customHeight="1">
      <x:c r="A48" s="13" t="n">
        <x:v>46290</x:v>
      </x:c>
      <x:c r="B48" s="7" t="str">
        <x:v>RM-304-25</x:v>
      </x:c>
      <x:c r="C48" s="14" t="n">
        <x:f>F44</x:f>
        <x:v>210</x:v>
      </x:c>
      <x:c r="D48" s="14" t="n">
        <x:f>SUMIFS('在途採購'!C$2:C$4,'在途採購'!B$2:B$4,B48,'在途採購'!D$2:D$4,A48)</x:f>
        <x:v>0</x:v>
      </x:c>
      <x:c r="E48" s="14" t="n">
        <x:f>SUMIFS('日別領料'!F$2:F$80,'日別領料'!D$2:D$80,B48,'日別領料'!A$2:A$80,A48)</x:f>
        <x:v>0</x:v>
      </x:c>
      <x:c r="F48" s="14" t="n">
        <x:f>C48+D48-E48</x:f>
        <x:v>210</x:v>
      </x:c>
      <x:c r="G48" s="14" t="n">
        <x:f>'原物料庫存'!E4</x:f>
        <x:v>150</x:v>
      </x:c>
      <x:c r="H48" s="14" t="n">
        <x:f>F48-G48</x:f>
        <x:v>60</x:v>
      </x:c>
    </x:row>
    <x:row r="49" ht="30" customHeight="1">
      <x:c r="A49" s="13" t="n">
        <x:v>46290</x:v>
      </x:c>
      <x:c r="B49" s="7" t="str">
        <x:v>CH-HC-01</x:v>
      </x:c>
      <x:c r="C49" s="14" t="n">
        <x:f>F45</x:f>
        <x:v>114</x:v>
      </x:c>
      <x:c r="D49" s="14" t="n">
        <x:f>SUMIFS('在途採購'!C$2:C$4,'在途採購'!B$2:B$4,B49,'在途採購'!D$2:D$4,A49)</x:f>
        <x:v>0</x:v>
      </x:c>
      <x:c r="E49" s="14" t="n">
        <x:f>SUMIFS('日別領料'!F$2:F$80,'日別領料'!D$2:D$80,B49,'日別領料'!A$2:A$80,A49)</x:f>
        <x:v>0</x:v>
      </x:c>
      <x:c r="F49" s="14" t="n">
        <x:f>C49+D49-E49</x:f>
        <x:v>114</x:v>
      </x:c>
      <x:c r="G49" s="14" t="n">
        <x:f>'原物料庫存'!E5</x:f>
        <x:v>50</x:v>
      </x:c>
      <x:c r="H49" s="14" t="n">
        <x:f>F49-G49</x:f>
        <x:v>64</x:v>
      </x:c>
    </x:row>
    <x:row r="50" ht="30" customHeight="1">
      <x:c r="A50" s="13" t="n">
        <x:v>46291</x:v>
      </x:c>
      <x:c r="B50" s="7" t="str">
        <x:v>RM-303-25</x:v>
      </x:c>
      <x:c r="C50" s="14" t="n">
        <x:f>F46</x:f>
        <x:v>244.0000000000001</x:v>
      </x:c>
      <x:c r="D50" s="14" t="n">
        <x:f>SUMIFS('在途採購'!C$2:C$4,'在途採購'!B$2:B$4,B50,'在途採購'!D$2:D$4,A50)</x:f>
        <x:v>0</x:v>
      </x:c>
      <x:c r="E50" s="14" t="n">
        <x:f>SUMIFS('日別領料'!F$2:F$80,'日別領料'!D$2:D$80,B50,'日別領料'!A$2:A$80,A50)</x:f>
        <x:v>0</x:v>
      </x:c>
      <x:c r="F50" s="14" t="n">
        <x:f>C50+D50-E50</x:f>
        <x:v>244.0000000000001</x:v>
      </x:c>
      <x:c r="G50" s="14" t="n">
        <x:f>'原物料庫存'!E2</x:f>
        <x:v>200</x:v>
      </x:c>
      <x:c r="H50" s="14" t="n">
        <x:f>F50-G50</x:f>
        <x:v>44.000000000000114</x:v>
      </x:c>
    </x:row>
    <x:row r="51" ht="30" customHeight="1">
      <x:c r="A51" s="13" t="n">
        <x:v>46291</x:v>
      </x:c>
      <x:c r="B51" s="7" t="str">
        <x:v>RM-303-30</x:v>
      </x:c>
      <x:c r="C51" s="14" t="n">
        <x:f>F47</x:f>
        <x:v>868</x:v>
      </x:c>
      <x:c r="D51" s="14" t="n">
        <x:f>SUMIFS('在途採購'!C$2:C$4,'在途採購'!B$2:B$4,B51,'在途採購'!D$2:D$4,A51)</x:f>
        <x:v>0</x:v>
      </x:c>
      <x:c r="E51" s="14" t="n">
        <x:f>SUMIFS('日別領料'!F$2:F$80,'日別領料'!D$2:D$80,B51,'日別領料'!A$2:A$80,A51)</x:f>
        <x:v>0</x:v>
      </x:c>
      <x:c r="F51" s="14" t="n">
        <x:f>C51+D51-E51</x:f>
        <x:v>868</x:v>
      </x:c>
      <x:c r="G51" s="14" t="n">
        <x:f>'原物料庫存'!E3</x:f>
        <x:v>200</x:v>
      </x:c>
      <x:c r="H51" s="14" t="n">
        <x:f>F51-G51</x:f>
        <x:v>668</x:v>
      </x:c>
    </x:row>
    <x:row r="52" ht="30" customHeight="1">
      <x:c r="A52" s="13" t="n">
        <x:v>46291</x:v>
      </x:c>
      <x:c r="B52" s="7" t="str">
        <x:v>RM-304-25</x:v>
      </x:c>
      <x:c r="C52" s="14" t="n">
        <x:f>F48</x:f>
        <x:v>210</x:v>
      </x:c>
      <x:c r="D52" s="14" t="n">
        <x:f>SUMIFS('在途採購'!C$2:C$4,'在途採購'!B$2:B$4,B52,'在途採購'!D$2:D$4,A52)</x:f>
        <x:v>0</x:v>
      </x:c>
      <x:c r="E52" s="14" t="n">
        <x:f>SUMIFS('日別領料'!F$2:F$80,'日別領料'!D$2:D$80,B52,'日別領料'!A$2:A$80,A52)</x:f>
        <x:v>0</x:v>
      </x:c>
      <x:c r="F52" s="14" t="n">
        <x:f>C52+D52-E52</x:f>
        <x:v>210</x:v>
      </x:c>
      <x:c r="G52" s="14" t="n">
        <x:f>'原物料庫存'!E4</x:f>
        <x:v>150</x:v>
      </x:c>
      <x:c r="H52" s="14" t="n">
        <x:f>F52-G52</x:f>
        <x:v>60</x:v>
      </x:c>
    </x:row>
    <x:row r="53" ht="30" customHeight="1">
      <x:c r="A53" s="13" t="n">
        <x:v>46291</x:v>
      </x:c>
      <x:c r="B53" s="7" t="str">
        <x:v>CH-HC-01</x:v>
      </x:c>
      <x:c r="C53" s="14" t="n">
        <x:f>F49</x:f>
        <x:v>114</x:v>
      </x:c>
      <x:c r="D53" s="14" t="n">
        <x:f>SUMIFS('在途採購'!C$2:C$4,'在途採購'!B$2:B$4,B53,'在途採購'!D$2:D$4,A53)</x:f>
        <x:v>0</x:v>
      </x:c>
      <x:c r="E53" s="14" t="n">
        <x:f>SUMIFS('日別領料'!F$2:F$80,'日別領料'!D$2:D$80,B53,'日別領料'!A$2:A$80,A53)</x:f>
        <x:v>0</x:v>
      </x:c>
      <x:c r="F53" s="14" t="n">
        <x:f>C53+D53-E53</x:f>
        <x:v>114</x:v>
      </x:c>
      <x:c r="G53" s="14" t="n">
        <x:f>'原物料庫存'!E5</x:f>
        <x:v>50</x:v>
      </x:c>
      <x:c r="H53" s="14" t="n">
        <x:f>F53-G53</x:f>
        <x:v>64</x:v>
      </x:c>
    </x:row>
    <x:row r="54" ht="30" customHeight="1">
      <x:c r="A54" s="13" t="n">
        <x:v>46292</x:v>
      </x:c>
      <x:c r="B54" s="7" t="str">
        <x:v>RM-303-25</x:v>
      </x:c>
      <x:c r="C54" s="14" t="n">
        <x:f>F50</x:f>
        <x:v>244.0000000000001</x:v>
      </x:c>
      <x:c r="D54" s="14" t="n">
        <x:f>SUMIFS('在途採購'!C$2:C$4,'在途採購'!B$2:B$4,B54,'在途採購'!D$2:D$4,A54)</x:f>
        <x:v>0</x:v>
      </x:c>
      <x:c r="E54" s="14" t="n">
        <x:f>SUMIFS('日別領料'!F$2:F$80,'日別領料'!D$2:D$80,B54,'日別領料'!A$2:A$80,A54)</x:f>
        <x:v>0</x:v>
      </x:c>
      <x:c r="F54" s="14" t="n">
        <x:f>C54+D54-E54</x:f>
        <x:v>244.0000000000001</x:v>
      </x:c>
      <x:c r="G54" s="14" t="n">
        <x:f>'原物料庫存'!E2</x:f>
        <x:v>200</x:v>
      </x:c>
      <x:c r="H54" s="14" t="n">
        <x:f>F54-G54</x:f>
        <x:v>44.000000000000114</x:v>
      </x:c>
    </x:row>
    <x:row r="55" ht="30" customHeight="1">
      <x:c r="A55" s="13" t="n">
        <x:v>46292</x:v>
      </x:c>
      <x:c r="B55" s="7" t="str">
        <x:v>RM-303-30</x:v>
      </x:c>
      <x:c r="C55" s="14" t="n">
        <x:f>F51</x:f>
        <x:v>868</x:v>
      </x:c>
      <x:c r="D55" s="14" t="n">
        <x:f>SUMIFS('在途採購'!C$2:C$4,'在途採購'!B$2:B$4,B55,'在途採購'!D$2:D$4,A55)</x:f>
        <x:v>0</x:v>
      </x:c>
      <x:c r="E55" s="14" t="n">
        <x:f>SUMIFS('日別領料'!F$2:F$80,'日別領料'!D$2:D$80,B55,'日別領料'!A$2:A$80,A55)</x:f>
        <x:v>0</x:v>
      </x:c>
      <x:c r="F55" s="14" t="n">
        <x:f>C55+D55-E55</x:f>
        <x:v>868</x:v>
      </x:c>
      <x:c r="G55" s="14" t="n">
        <x:f>'原物料庫存'!E3</x:f>
        <x:v>200</x:v>
      </x:c>
      <x:c r="H55" s="14" t="n">
        <x:f>F55-G55</x:f>
        <x:v>668</x:v>
      </x:c>
    </x:row>
    <x:row r="56" ht="30" customHeight="1">
      <x:c r="A56" s="13" t="n">
        <x:v>46292</x:v>
      </x:c>
      <x:c r="B56" s="7" t="str">
        <x:v>RM-304-25</x:v>
      </x:c>
      <x:c r="C56" s="14" t="n">
        <x:f>F52</x:f>
        <x:v>210</x:v>
      </x:c>
      <x:c r="D56" s="14" t="n">
        <x:f>SUMIFS('在途採購'!C$2:C$4,'在途採購'!B$2:B$4,B56,'在途採購'!D$2:D$4,A56)</x:f>
        <x:v>0</x:v>
      </x:c>
      <x:c r="E56" s="14" t="n">
        <x:f>SUMIFS('日別領料'!F$2:F$80,'日別領料'!D$2:D$80,B56,'日別領料'!A$2:A$80,A56)</x:f>
        <x:v>0</x:v>
      </x:c>
      <x:c r="F56" s="14" t="n">
        <x:f>C56+D56-E56</x:f>
        <x:v>210</x:v>
      </x:c>
      <x:c r="G56" s="14" t="n">
        <x:f>'原物料庫存'!E4</x:f>
        <x:v>150</x:v>
      </x:c>
      <x:c r="H56" s="14" t="n">
        <x:f>F56-G56</x:f>
        <x:v>60</x:v>
      </x:c>
    </x:row>
    <x:row r="57" ht="30" customHeight="1">
      <x:c r="A57" s="13" t="n">
        <x:v>46292</x:v>
      </x:c>
      <x:c r="B57" s="7" t="str">
        <x:v>CH-HC-01</x:v>
      </x:c>
      <x:c r="C57" s="14" t="n">
        <x:f>F53</x:f>
        <x:v>114</x:v>
      </x:c>
      <x:c r="D57" s="14" t="n">
        <x:f>SUMIFS('在途採購'!C$2:C$4,'在途採購'!B$2:B$4,B57,'在途採購'!D$2:D$4,A57)</x:f>
        <x:v>0</x:v>
      </x:c>
      <x:c r="E57" s="14" t="n">
        <x:f>SUMIFS('日別領料'!F$2:F$80,'日別領料'!D$2:D$80,B57,'日別領料'!A$2:A$80,A57)</x:f>
        <x:v>0</x:v>
      </x:c>
      <x:c r="F57" s="14" t="n">
        <x:f>C57+D57-E57</x:f>
        <x:v>114</x:v>
      </x:c>
      <x:c r="G57" s="14" t="n">
        <x:f>'原物料庫存'!E5</x:f>
        <x:v>50</x:v>
      </x:c>
      <x:c r="H57" s="14" t="n">
        <x:f>F57-G57</x:f>
        <x:v>64</x:v>
      </x:c>
    </x:row>
    <x:row r="58" ht="30" customHeight="1">
      <x:c r="A58" s="13" t="n">
        <x:v>46293</x:v>
      </x:c>
      <x:c r="B58" s="7" t="str">
        <x:v>RM-303-25</x:v>
      </x:c>
      <x:c r="C58" s="14" t="n">
        <x:f>F54</x:f>
        <x:v>244.0000000000001</x:v>
      </x:c>
      <x:c r="D58" s="14" t="n">
        <x:f>SUMIFS('在途採購'!C$2:C$4,'在途採購'!B$2:B$4,B58,'在途採購'!D$2:D$4,A58)</x:f>
        <x:v>0</x:v>
      </x:c>
      <x:c r="E58" s="14" t="n">
        <x:f>SUMIFS('日別領料'!F$2:F$80,'日別領料'!D$2:D$80,B58,'日別領料'!A$2:A$80,A58)</x:f>
        <x:v>0</x:v>
      </x:c>
      <x:c r="F58" s="14" t="n">
        <x:f>C58+D58-E58</x:f>
        <x:v>244.0000000000001</x:v>
      </x:c>
      <x:c r="G58" s="14" t="n">
        <x:f>'原物料庫存'!E2</x:f>
        <x:v>200</x:v>
      </x:c>
      <x:c r="H58" s="14" t="n">
        <x:f>F58-G58</x:f>
        <x:v>44.000000000000114</x:v>
      </x:c>
    </x:row>
    <x:row r="59" ht="30" customHeight="1">
      <x:c r="A59" s="13" t="n">
        <x:v>46293</x:v>
      </x:c>
      <x:c r="B59" s="7" t="str">
        <x:v>RM-303-30</x:v>
      </x:c>
      <x:c r="C59" s="14" t="n">
        <x:f>F55</x:f>
        <x:v>868</x:v>
      </x:c>
      <x:c r="D59" s="14" t="n">
        <x:f>SUMIFS('在途採購'!C$2:C$4,'在途採購'!B$2:B$4,B59,'在途採購'!D$2:D$4,A59)</x:f>
        <x:v>0</x:v>
      </x:c>
      <x:c r="E59" s="14" t="n">
        <x:f>SUMIFS('日別領料'!F$2:F$80,'日別領料'!D$2:D$80,B59,'日別領料'!A$2:A$80,A59)</x:f>
        <x:v>0</x:v>
      </x:c>
      <x:c r="F59" s="14" t="n">
        <x:f>C59+D59-E59</x:f>
        <x:v>868</x:v>
      </x:c>
      <x:c r="G59" s="14" t="n">
        <x:f>'原物料庫存'!E3</x:f>
        <x:v>200</x:v>
      </x:c>
      <x:c r="H59" s="14" t="n">
        <x:f>F59-G59</x:f>
        <x:v>668</x:v>
      </x:c>
    </x:row>
    <x:row r="60" ht="30" customHeight="1">
      <x:c r="A60" s="13" t="n">
        <x:v>46293</x:v>
      </x:c>
      <x:c r="B60" s="7" t="str">
        <x:v>RM-304-25</x:v>
      </x:c>
      <x:c r="C60" s="14" t="n">
        <x:f>F56</x:f>
        <x:v>210</x:v>
      </x:c>
      <x:c r="D60" s="14" t="n">
        <x:f>SUMIFS('在途採購'!C$2:C$4,'在途採購'!B$2:B$4,B60,'在途採購'!D$2:D$4,A60)</x:f>
        <x:v>0</x:v>
      </x:c>
      <x:c r="E60" s="14" t="n">
        <x:f>SUMIFS('日別領料'!F$2:F$80,'日別領料'!D$2:D$80,B60,'日別領料'!A$2:A$80,A60)</x:f>
        <x:v>0</x:v>
      </x:c>
      <x:c r="F60" s="14" t="n">
        <x:f>C60+D60-E60</x:f>
        <x:v>210</x:v>
      </x:c>
      <x:c r="G60" s="14" t="n">
        <x:f>'原物料庫存'!E4</x:f>
        <x:v>150</x:v>
      </x:c>
      <x:c r="H60" s="14" t="n">
        <x:f>F60-G60</x:f>
        <x:v>60</x:v>
      </x:c>
    </x:row>
    <x:row r="61" ht="30" customHeight="1">
      <x:c r="A61" s="13" t="n">
        <x:v>46293</x:v>
      </x:c>
      <x:c r="B61" s="7" t="str">
        <x:v>CH-HC-01</x:v>
      </x:c>
      <x:c r="C61" s="14" t="n">
        <x:f>F57</x:f>
        <x:v>114</x:v>
      </x:c>
      <x:c r="D61" s="14" t="n">
        <x:f>SUMIFS('在途採購'!C$2:C$4,'在途採購'!B$2:B$4,B61,'在途採購'!D$2:D$4,A61)</x:f>
        <x:v>0</x:v>
      </x:c>
      <x:c r="E61" s="14" t="n">
        <x:f>SUMIFS('日別領料'!F$2:F$80,'日別領料'!D$2:D$80,B61,'日別領料'!A$2:A$80,A61)</x:f>
        <x:v>0</x:v>
      </x:c>
      <x:c r="F61" s="14" t="n">
        <x:f>C61+D61-E61</x:f>
        <x:v>114</x:v>
      </x:c>
      <x:c r="G61" s="14" t="n">
        <x:f>'原物料庫存'!E5</x:f>
        <x:v>50</x:v>
      </x:c>
      <x:c r="H61" s="14" t="n">
        <x:f>F61-G61</x:f>
        <x:v>64</x:v>
      </x:c>
    </x:row>
    <x:row r="62" ht="30" customHeight="1">
      <x:c r="A62" s="13" t="n">
        <x:v>46294</x:v>
      </x:c>
      <x:c r="B62" s="7" t="str">
        <x:v>RM-303-25</x:v>
      </x:c>
      <x:c r="C62" s="14" t="n">
        <x:f>F58</x:f>
        <x:v>244.0000000000001</x:v>
      </x:c>
      <x:c r="D62" s="14" t="n">
        <x:f>SUMIFS('在途採購'!C$2:C$4,'在途採購'!B$2:B$4,B62,'在途採購'!D$2:D$4,A62)</x:f>
        <x:v>0</x:v>
      </x:c>
      <x:c r="E62" s="14" t="n">
        <x:f>SUMIFS('日別領料'!F$2:F$80,'日別領料'!D$2:D$80,B62,'日別領料'!A$2:A$80,A62)</x:f>
        <x:v>0</x:v>
      </x:c>
      <x:c r="F62" s="14" t="n">
        <x:f>C62+D62-E62</x:f>
        <x:v>244.0000000000001</x:v>
      </x:c>
      <x:c r="G62" s="14" t="n">
        <x:f>'原物料庫存'!E2</x:f>
        <x:v>200</x:v>
      </x:c>
      <x:c r="H62" s="14" t="n">
        <x:f>F62-G62</x:f>
        <x:v>44.000000000000114</x:v>
      </x:c>
    </x:row>
    <x:row r="63" ht="30" customHeight="1">
      <x:c r="A63" s="13" t="n">
        <x:v>46294</x:v>
      </x:c>
      <x:c r="B63" s="7" t="str">
        <x:v>RM-303-30</x:v>
      </x:c>
      <x:c r="C63" s="14" t="n">
        <x:f>F59</x:f>
        <x:v>868</x:v>
      </x:c>
      <x:c r="D63" s="14" t="n">
        <x:f>SUMIFS('在途採購'!C$2:C$4,'在途採購'!B$2:B$4,B63,'在途採購'!D$2:D$4,A63)</x:f>
        <x:v>0</x:v>
      </x:c>
      <x:c r="E63" s="14" t="n">
        <x:f>SUMIFS('日別領料'!F$2:F$80,'日別領料'!D$2:D$80,B63,'日別領料'!A$2:A$80,A63)</x:f>
        <x:v>0</x:v>
      </x:c>
      <x:c r="F63" s="14" t="n">
        <x:f>C63+D63-E63</x:f>
        <x:v>868</x:v>
      </x:c>
      <x:c r="G63" s="14" t="n">
        <x:f>'原物料庫存'!E3</x:f>
        <x:v>200</x:v>
      </x:c>
      <x:c r="H63" s="14" t="n">
        <x:f>F63-G63</x:f>
        <x:v>668</x:v>
      </x:c>
    </x:row>
    <x:row r="64" ht="30" customHeight="1">
      <x:c r="A64" s="13" t="n">
        <x:v>46294</x:v>
      </x:c>
      <x:c r="B64" s="7" t="str">
        <x:v>RM-304-25</x:v>
      </x:c>
      <x:c r="C64" s="14" t="n">
        <x:f>F60</x:f>
        <x:v>210</x:v>
      </x:c>
      <x:c r="D64" s="14" t="n">
        <x:f>SUMIFS('在途採購'!C$2:C$4,'在途採購'!B$2:B$4,B64,'在途採購'!D$2:D$4,A64)</x:f>
        <x:v>0</x:v>
      </x:c>
      <x:c r="E64" s="14" t="n">
        <x:f>SUMIFS('日別領料'!F$2:F$80,'日別領料'!D$2:D$80,B64,'日別領料'!A$2:A$80,A64)</x:f>
        <x:v>0</x:v>
      </x:c>
      <x:c r="F64" s="14" t="n">
        <x:f>C64+D64-E64</x:f>
        <x:v>210</x:v>
      </x:c>
      <x:c r="G64" s="14" t="n">
        <x:f>'原物料庫存'!E4</x:f>
        <x:v>150</x:v>
      </x:c>
      <x:c r="H64" s="14" t="n">
        <x:f>F64-G64</x:f>
        <x:v>60</x:v>
      </x:c>
    </x:row>
    <x:row r="65" ht="30" customHeight="1">
      <x:c r="A65" s="13" t="n">
        <x:v>46294</x:v>
      </x:c>
      <x:c r="B65" s="7" t="str">
        <x:v>CH-HC-01</x:v>
      </x:c>
      <x:c r="C65" s="14" t="n">
        <x:f>F61</x:f>
        <x:v>114</x:v>
      </x:c>
      <x:c r="D65" s="14" t="n">
        <x:f>SUMIFS('在途採購'!C$2:C$4,'在途採購'!B$2:B$4,B65,'在途採購'!D$2:D$4,A65)</x:f>
        <x:v>0</x:v>
      </x:c>
      <x:c r="E65" s="14" t="n">
        <x:f>SUMIFS('日別領料'!F$2:F$80,'日別領料'!D$2:D$80,B65,'日別領料'!A$2:A$80,A65)</x:f>
        <x:v>2</x:v>
      </x:c>
      <x:c r="F65" s="14" t="n">
        <x:f>C65+D65-E65</x:f>
        <x:v>112</x:v>
      </x:c>
      <x:c r="G65" s="14" t="n">
        <x:f>'原物料庫存'!E5</x:f>
        <x:v>50</x:v>
      </x:c>
      <x:c r="H65" s="14" t="n">
        <x:f>F65-G65</x:f>
        <x:v>62</x:v>
      </x:c>
    </x:row>
    <x:row r="66" ht="30" customHeight="1">
      <x:c r="A66" s="13" t="n">
        <x:v>46295</x:v>
      </x:c>
      <x:c r="B66" s="7" t="str">
        <x:v>RM-303-25</x:v>
      </x:c>
      <x:c r="C66" s="14" t="n">
        <x:f>F62</x:f>
        <x:v>244.0000000000001</x:v>
      </x:c>
      <x:c r="D66" s="14" t="n">
        <x:f>SUMIFS('在途採購'!C$2:C$4,'在途採購'!B$2:B$4,B66,'在途採購'!D$2:D$4,A66)</x:f>
        <x:v>0</x:v>
      </x:c>
      <x:c r="E66" s="14" t="n">
        <x:f>SUMIFS('日別領料'!F$2:F$80,'日別領料'!D$2:D$80,B66,'日別領料'!A$2:A$80,A66)</x:f>
        <x:v>0</x:v>
      </x:c>
      <x:c r="F66" s="14" t="n">
        <x:f>C66+D66-E66</x:f>
        <x:v>244.0000000000001</x:v>
      </x:c>
      <x:c r="G66" s="14" t="n">
        <x:f>'原物料庫存'!E2</x:f>
        <x:v>200</x:v>
      </x:c>
      <x:c r="H66" s="14" t="n">
        <x:f>F66-G66</x:f>
        <x:v>44.000000000000114</x:v>
      </x:c>
    </x:row>
    <x:row r="67" ht="30" customHeight="1">
      <x:c r="A67" s="13" t="n">
        <x:v>46295</x:v>
      </x:c>
      <x:c r="B67" s="7" t="str">
        <x:v>RM-303-30</x:v>
      </x:c>
      <x:c r="C67" s="14" t="n">
        <x:f>F63</x:f>
        <x:v>868</x:v>
      </x:c>
      <x:c r="D67" s="14" t="n">
        <x:f>SUMIFS('在途採購'!C$2:C$4,'在途採購'!B$2:B$4,B67,'在途採購'!D$2:D$4,A67)</x:f>
        <x:v>0</x:v>
      </x:c>
      <x:c r="E67" s="14" t="n">
        <x:f>SUMIFS('日別領料'!F$2:F$80,'日別領料'!D$2:D$80,B67,'日別領料'!A$2:A$80,A67)</x:f>
        <x:v>0</x:v>
      </x:c>
      <x:c r="F67" s="14" t="n">
        <x:f>C67+D67-E67</x:f>
        <x:v>868</x:v>
      </x:c>
      <x:c r="G67" s="14" t="n">
        <x:f>'原物料庫存'!E3</x:f>
        <x:v>200</x:v>
      </x:c>
      <x:c r="H67" s="14" t="n">
        <x:f>F67-G67</x:f>
        <x:v>668</x:v>
      </x:c>
    </x:row>
    <x:row r="68" ht="30" customHeight="1">
      <x:c r="A68" s="13" t="n">
        <x:v>46295</x:v>
      </x:c>
      <x:c r="B68" s="7" t="str">
        <x:v>RM-304-25</x:v>
      </x:c>
      <x:c r="C68" s="14" t="n">
        <x:f>F64</x:f>
        <x:v>210</x:v>
      </x:c>
      <x:c r="D68" s="14" t="n">
        <x:f>SUMIFS('在途採購'!C$2:C$4,'在途採購'!B$2:B$4,B68,'在途採購'!D$2:D$4,A68)</x:f>
        <x:v>0</x:v>
      </x:c>
      <x:c r="E68" s="14" t="n">
        <x:f>SUMIFS('日別領料'!F$2:F$80,'日別領料'!D$2:D$80,B68,'日別領料'!A$2:A$80,A68)</x:f>
        <x:v>0</x:v>
      </x:c>
      <x:c r="F68" s="14" t="n">
        <x:f>C68+D68-E68</x:f>
        <x:v>210</x:v>
      </x:c>
      <x:c r="G68" s="14" t="n">
        <x:f>'原物料庫存'!E4</x:f>
        <x:v>150</x:v>
      </x:c>
      <x:c r="H68" s="14" t="n">
        <x:f>F68-G68</x:f>
        <x:v>60</x:v>
      </x:c>
    </x:row>
    <x:row r="69" ht="30" customHeight="1">
      <x:c r="A69" s="13" t="n">
        <x:v>46295</x:v>
      </x:c>
      <x:c r="B69" s="7" t="str">
        <x:v>CH-HC-01</x:v>
      </x:c>
      <x:c r="C69" s="14" t="n">
        <x:f>F65</x:f>
        <x:v>112</x:v>
      </x:c>
      <x:c r="D69" s="14" t="n">
        <x:f>SUMIFS('在途採購'!C$2:C$4,'在途採購'!B$2:B$4,B69,'在途採購'!D$2:D$4,A69)</x:f>
        <x:v>0</x:v>
      </x:c>
      <x:c r="E69" s="14" t="n">
        <x:f>SUMIFS('日別領料'!F$2:F$80,'日別領料'!D$2:D$80,B69,'日別領料'!A$2:A$80,A69)</x:f>
        <x:v>2</x:v>
      </x:c>
      <x:c r="F69" s="14" t="n">
        <x:f>C69+D69-E69</x:f>
        <x:v>110</x:v>
      </x:c>
      <x:c r="G69" s="14" t="n">
        <x:f>'原物料庫存'!E5</x:f>
        <x:v>50</x:v>
      </x:c>
      <x:c r="H69" s="14" t="n">
        <x:f>F69-G69</x:f>
        <x:v>60</x:v>
      </x:c>
    </x:row>
    <x:row r="70" ht="30" customHeight="1">
      <x:c r="A70" s="13" t="n">
        <x:v>46296</x:v>
      </x:c>
      <x:c r="B70" s="7" t="str">
        <x:v>RM-303-25</x:v>
      </x:c>
      <x:c r="C70" s="14" t="n">
        <x:f>F66</x:f>
        <x:v>244.0000000000001</x:v>
      </x:c>
      <x:c r="D70" s="14" t="n">
        <x:f>SUMIFS('在途採購'!C$2:C$4,'在途採購'!B$2:B$4,B70,'在途採購'!D$2:D$4,A70)</x:f>
        <x:v>0</x:v>
      </x:c>
      <x:c r="E70" s="14" t="n">
        <x:f>SUMIFS('日別領料'!F$2:F$80,'日別領料'!D$2:D$80,B70,'日別領料'!A$2:A$80,A70)</x:f>
        <x:v>0</x:v>
      </x:c>
      <x:c r="F70" s="14" t="n">
        <x:f>C70+D70-E70</x:f>
        <x:v>244.0000000000001</x:v>
      </x:c>
      <x:c r="G70" s="14" t="n">
        <x:f>'原物料庫存'!E2</x:f>
        <x:v>200</x:v>
      </x:c>
      <x:c r="H70" s="14" t="n">
        <x:f>F70-G70</x:f>
        <x:v>44.000000000000114</x:v>
      </x:c>
    </x:row>
    <x:row r="71" ht="30" customHeight="1">
      <x:c r="A71" s="13" t="n">
        <x:v>46296</x:v>
      </x:c>
      <x:c r="B71" s="7" t="str">
        <x:v>RM-303-30</x:v>
      </x:c>
      <x:c r="C71" s="14" t="n">
        <x:f>F67</x:f>
        <x:v>868</x:v>
      </x:c>
      <x:c r="D71" s="14" t="n">
        <x:f>SUMIFS('在途採購'!C$2:C$4,'在途採購'!B$2:B$4,B71,'在途採購'!D$2:D$4,A71)</x:f>
        <x:v>0</x:v>
      </x:c>
      <x:c r="E71" s="14" t="n">
        <x:f>SUMIFS('日別領料'!F$2:F$80,'日別領料'!D$2:D$80,B71,'日別領料'!A$2:A$80,A71)</x:f>
        <x:v>0</x:v>
      </x:c>
      <x:c r="F71" s="14" t="n">
        <x:f>C71+D71-E71</x:f>
        <x:v>868</x:v>
      </x:c>
      <x:c r="G71" s="14" t="n">
        <x:f>'原物料庫存'!E3</x:f>
        <x:v>200</x:v>
      </x:c>
      <x:c r="H71" s="14" t="n">
        <x:f>F71-G71</x:f>
        <x:v>668</x:v>
      </x:c>
    </x:row>
    <x:row r="72" ht="30" customHeight="1">
      <x:c r="A72" s="13" t="n">
        <x:v>46296</x:v>
      </x:c>
      <x:c r="B72" s="7" t="str">
        <x:v>RM-304-25</x:v>
      </x:c>
      <x:c r="C72" s="14" t="n">
        <x:f>F68</x:f>
        <x:v>210</x:v>
      </x:c>
      <x:c r="D72" s="14" t="n">
        <x:f>SUMIFS('在途採購'!C$2:C$4,'在途採購'!B$2:B$4,B72,'在途採購'!D$2:D$4,A72)</x:f>
        <x:v>0</x:v>
      </x:c>
      <x:c r="E72" s="14" t="n">
        <x:f>SUMIFS('日別領料'!F$2:F$80,'日別領料'!D$2:D$80,B72,'日別領料'!A$2:A$80,A72)</x:f>
        <x:v>0</x:v>
      </x:c>
      <x:c r="F72" s="14" t="n">
        <x:f>C72+D72-E72</x:f>
        <x:v>210</x:v>
      </x:c>
      <x:c r="G72" s="14" t="n">
        <x:f>'原物料庫存'!E4</x:f>
        <x:v>150</x:v>
      </x:c>
      <x:c r="H72" s="14" t="n">
        <x:f>F72-G72</x:f>
        <x:v>60</x:v>
      </x:c>
    </x:row>
    <x:row r="73" ht="30" customHeight="1">
      <x:c r="A73" s="13" t="n">
        <x:v>46296</x:v>
      </x:c>
      <x:c r="B73" s="7" t="str">
        <x:v>CH-HC-01</x:v>
      </x:c>
      <x:c r="C73" s="14" t="n">
        <x:f>F69</x:f>
        <x:v>110</x:v>
      </x:c>
      <x:c r="D73" s="14" t="n">
        <x:f>SUMIFS('在途採購'!C$2:C$4,'在途採購'!B$2:B$4,B73,'在途採購'!D$2:D$4,A73)</x:f>
        <x:v>0</x:v>
      </x:c>
      <x:c r="E73" s="14" t="n">
        <x:f>SUMIFS('日別領料'!F$2:F$80,'日別領料'!D$2:D$80,B73,'日別領料'!A$2:A$80,A73)</x:f>
        <x:v>2</x:v>
      </x:c>
      <x:c r="F73" s="14" t="n">
        <x:f>C73+D73-E73</x:f>
        <x:v>108</x:v>
      </x:c>
      <x:c r="G73" s="14" t="n">
        <x:f>'原物料庫存'!E5</x:f>
        <x:v>50</x:v>
      </x:c>
      <x:c r="H73" s="14" t="n">
        <x:f>F73-G73</x:f>
        <x:v>58</x:v>
      </x:c>
    </x:row>
    <x:row r="74" ht="30" customHeight="1">
      <x:c r="A74" s="13" t="n">
        <x:v>46297</x:v>
      </x:c>
      <x:c r="B74" s="7" t="str">
        <x:v>RM-303-25</x:v>
      </x:c>
      <x:c r="C74" s="7" t="n">
        <x:f>F70</x:f>
        <x:v>244.0000000000001</x:v>
      </x:c>
      <x:c r="D74" s="7" t="n">
        <x:f>SUMIFS('在途採購'!C$2:C$4,'在途採購'!B$2:B$4,B74,'在途採購'!D$2:D$4,A74)</x:f>
        <x:v>0</x:v>
      </x:c>
      <x:c r="E74" s="7" t="n">
        <x:f>SUMIFS('日別領料'!F$2:F$80,'日別領料'!D$2:D$80,B74,'日別領料'!A$2:A$80,A74)</x:f>
        <x:v>0</x:v>
      </x:c>
      <x:c r="F74" s="7" t="n">
        <x:f>C74+D74-E74</x:f>
        <x:v>244.0000000000001</x:v>
      </x:c>
      <x:c r="G74" s="7" t="n">
        <x:f>'原物料庫存'!E2</x:f>
        <x:v>200</x:v>
      </x:c>
      <x:c r="H74" s="7" t="n">
        <x:f>F74-G74</x:f>
        <x:v>44.000000000000114</x:v>
      </x:c>
    </x:row>
    <x:row r="75" ht="30" customHeight="1">
      <x:c r="A75" s="13" t="n">
        <x:v>46297</x:v>
      </x:c>
      <x:c r="B75" s="7" t="str">
        <x:v>RM-303-30</x:v>
      </x:c>
      <x:c r="C75" s="7" t="n">
        <x:f>F71</x:f>
        <x:v>868</x:v>
      </x:c>
      <x:c r="D75" s="7" t="n">
        <x:f>SUMIFS('在途採購'!C$2:C$4,'在途採購'!B$2:B$4,B75,'在途採購'!D$2:D$4,A75)</x:f>
        <x:v>0</x:v>
      </x:c>
      <x:c r="E75" s="7" t="n">
        <x:f>SUMIFS('日別領料'!F$2:F$80,'日別領料'!D$2:D$80,B75,'日別領料'!A$2:A$80,A75)</x:f>
        <x:v>0</x:v>
      </x:c>
      <x:c r="F75" s="7" t="n">
        <x:f>C75+D75-E75</x:f>
        <x:v>868</x:v>
      </x:c>
      <x:c r="G75" s="7" t="n">
        <x:f>'原物料庫存'!E3</x:f>
        <x:v>200</x:v>
      </x:c>
      <x:c r="H75" s="7" t="n">
        <x:f>F75-G75</x:f>
        <x:v>668</x:v>
      </x:c>
    </x:row>
    <x:row r="76" ht="30" customHeight="1">
      <x:c r="A76" s="13" t="n">
        <x:v>46297</x:v>
      </x:c>
      <x:c r="B76" s="7" t="str">
        <x:v>RM-304-25</x:v>
      </x:c>
      <x:c r="C76" s="7" t="n">
        <x:f>F72</x:f>
        <x:v>210</x:v>
      </x:c>
      <x:c r="D76" s="7" t="n">
        <x:f>SUMIFS('在途採購'!C$2:C$4,'在途採購'!B$2:B$4,B76,'在途採購'!D$2:D$4,A76)</x:f>
        <x:v>0</x:v>
      </x:c>
      <x:c r="E76" s="7" t="n">
        <x:f>SUMIFS('日別領料'!F$2:F$80,'日別領料'!D$2:D$80,B76,'日別領料'!A$2:A$80,A76)</x:f>
        <x:v>0</x:v>
      </x:c>
      <x:c r="F76" s="7" t="n">
        <x:f>C76+D76-E76</x:f>
        <x:v>210</x:v>
      </x:c>
      <x:c r="G76" s="7" t="n">
        <x:f>'原物料庫存'!E4</x:f>
        <x:v>150</x:v>
      </x:c>
      <x:c r="H76" s="7" t="n">
        <x:f>F76-G76</x:f>
        <x:v>60</x:v>
      </x:c>
    </x:row>
    <x:row r="77" ht="30" customHeight="1">
      <x:c r="A77" s="13" t="n">
        <x:v>46297</x:v>
      </x:c>
      <x:c r="B77" s="7" t="str">
        <x:v>CH-HC-01</x:v>
      </x:c>
      <x:c r="C77" s="7" t="n">
        <x:f>F73</x:f>
        <x:v>108</x:v>
      </x:c>
      <x:c r="D77" s="7" t="n">
        <x:f>SUMIFS('在途採購'!C$2:C$4,'在途採購'!B$2:B$4,B77,'在途採購'!D$2:D$4,A77)</x:f>
        <x:v>0</x:v>
      </x:c>
      <x:c r="E77" s="7" t="n">
        <x:f>SUMIFS('日別領料'!F$2:F$80,'日別領料'!D$2:D$80,B77,'日別領料'!A$2:A$80,A77)</x:f>
        <x:v>2</x:v>
      </x:c>
      <x:c r="F77" s="7" t="n">
        <x:f>C77+D77-E77</x:f>
        <x:v>106</x:v>
      </x:c>
      <x:c r="G77" s="7" t="n">
        <x:f>'原物料庫存'!E5</x:f>
        <x:v>50</x:v>
      </x:c>
      <x:c r="H77" s="7" t="n">
        <x:f>F77-G77</x:f>
        <x:v>56</x:v>
      </x:c>
    </x:row>
    <x:row r="78" ht="30" customHeight="1">
      <x:c r="A78" s="13" t="n">
        <x:v>46298</x:v>
      </x:c>
      <x:c r="B78" s="7" t="str">
        <x:v>RM-303-25</x:v>
      </x:c>
      <x:c r="C78" s="7" t="n">
        <x:f>F74</x:f>
        <x:v>244.0000000000001</x:v>
      </x:c>
      <x:c r="D78" s="7" t="n">
        <x:f>SUMIFS('在途採購'!C$2:C$4,'在途採購'!B$2:B$4,B78,'在途採購'!D$2:D$4,A78)</x:f>
        <x:v>0</x:v>
      </x:c>
      <x:c r="E78" s="7" t="n">
        <x:f>SUMIFS('日別領料'!F$2:F$80,'日別領料'!D$2:D$80,B78,'日別領料'!A$2:A$80,A78)</x:f>
        <x:v>0</x:v>
      </x:c>
      <x:c r="F78" s="7" t="n">
        <x:f>C78+D78-E78</x:f>
        <x:v>244.0000000000001</x:v>
      </x:c>
      <x:c r="G78" s="7" t="n">
        <x:f>'原物料庫存'!E2</x:f>
        <x:v>200</x:v>
      </x:c>
      <x:c r="H78" s="7" t="n">
        <x:f>F78-G78</x:f>
        <x:v>44.000000000000114</x:v>
      </x:c>
    </x:row>
    <x:row r="79" ht="30" customHeight="1">
      <x:c r="A79" s="13" t="n">
        <x:v>46298</x:v>
      </x:c>
      <x:c r="B79" s="7" t="str">
        <x:v>RM-303-30</x:v>
      </x:c>
      <x:c r="C79" s="7" t="n">
        <x:f>F75</x:f>
        <x:v>868</x:v>
      </x:c>
      <x:c r="D79" s="7" t="n">
        <x:f>SUMIFS('在途採購'!C$2:C$4,'在途採購'!B$2:B$4,B79,'在途採購'!D$2:D$4,A79)</x:f>
        <x:v>0</x:v>
      </x:c>
      <x:c r="E79" s="7" t="n">
        <x:f>SUMIFS('日別領料'!F$2:F$80,'日別領料'!D$2:D$80,B79,'日別領料'!A$2:A$80,A79)</x:f>
        <x:v>0</x:v>
      </x:c>
      <x:c r="F79" s="7" t="n">
        <x:f>C79+D79-E79</x:f>
        <x:v>868</x:v>
      </x:c>
      <x:c r="G79" s="7" t="n">
        <x:f>'原物料庫存'!E3</x:f>
        <x:v>200</x:v>
      </x:c>
      <x:c r="H79" s="7" t="n">
        <x:f>F79-G79</x:f>
        <x:v>668</x:v>
      </x:c>
    </x:row>
    <x:row r="80" ht="30" customHeight="1">
      <x:c r="A80" s="13" t="n">
        <x:v>46298</x:v>
      </x:c>
      <x:c r="B80" s="7" t="str">
        <x:v>RM-304-25</x:v>
      </x:c>
      <x:c r="C80" s="7" t="n">
        <x:f>F76</x:f>
        <x:v>210</x:v>
      </x:c>
      <x:c r="D80" s="7" t="n">
        <x:f>SUMIFS('在途採購'!C$2:C$4,'在途採購'!B$2:B$4,B80,'在途採購'!D$2:D$4,A80)</x:f>
        <x:v>0</x:v>
      </x:c>
      <x:c r="E80" s="7" t="n">
        <x:f>SUMIFS('日別領料'!F$2:F$80,'日別領料'!D$2:D$80,B80,'日別領料'!A$2:A$80,A80)</x:f>
        <x:v>0</x:v>
      </x:c>
      <x:c r="F80" s="7" t="n">
        <x:f>C80+D80-E80</x:f>
        <x:v>210</x:v>
      </x:c>
      <x:c r="G80" s="7" t="n">
        <x:f>'原物料庫存'!E4</x:f>
        <x:v>150</x:v>
      </x:c>
      <x:c r="H80" s="7" t="n">
        <x:f>F80-G80</x:f>
        <x:v>60</x:v>
      </x:c>
    </x:row>
    <x:row r="81" ht="30" customHeight="1">
      <x:c r="A81" s="13" t="n">
        <x:v>46298</x:v>
      </x:c>
      <x:c r="B81" s="7" t="str">
        <x:v>CH-HC-01</x:v>
      </x:c>
      <x:c r="C81" s="7" t="n">
        <x:f>F77</x:f>
        <x:v>106</x:v>
      </x:c>
      <x:c r="D81" s="7" t="n">
        <x:f>SUMIFS('在途採購'!C$2:C$4,'在途採購'!B$2:B$4,B81,'在途採購'!D$2:D$4,A81)</x:f>
        <x:v>0</x:v>
      </x:c>
      <x:c r="E81" s="7" t="n">
        <x:f>SUMIFS('日別領料'!F$2:F$80,'日別領料'!D$2:D$80,B81,'日別領料'!A$2:A$80,A81)</x:f>
        <x:v>0</x:v>
      </x:c>
      <x:c r="F81" s="7" t="n">
        <x:f>C81+D81-E81</x:f>
        <x:v>106</x:v>
      </x:c>
      <x:c r="G81" s="7" t="n">
        <x:f>'原物料庫存'!E5</x:f>
        <x:v>50</x:v>
      </x:c>
      <x:c r="H81" s="7" t="n">
        <x:f>F81-G81</x:f>
        <x:v>56</x:v>
      </x:c>
    </x:row>
    <x:row r="82" ht="30" customHeight="1">
      <x:c r="A82" s="13" t="n">
        <x:v>46299</x:v>
      </x:c>
      <x:c r="B82" s="7" t="str">
        <x:v>RM-303-25</x:v>
      </x:c>
      <x:c r="C82" s="7" t="n">
        <x:f>F78</x:f>
        <x:v>244.0000000000001</x:v>
      </x:c>
      <x:c r="D82" s="7" t="n">
        <x:f>SUMIFS('在途採購'!C$2:C$4,'在途採購'!B$2:B$4,B82,'在途採購'!D$2:D$4,A82)</x:f>
        <x:v>0</x:v>
      </x:c>
      <x:c r="E82" s="7" t="n">
        <x:f>SUMIFS('日別領料'!F$2:F$80,'日別領料'!D$2:D$80,B82,'日別領料'!A$2:A$80,A82)</x:f>
        <x:v>0</x:v>
      </x:c>
      <x:c r="F82" s="7" t="n">
        <x:f>C82+D82-E82</x:f>
        <x:v>244.0000000000001</x:v>
      </x:c>
      <x:c r="G82" s="7" t="n">
        <x:f>'原物料庫存'!E2</x:f>
        <x:v>200</x:v>
      </x:c>
      <x:c r="H82" s="7" t="n">
        <x:f>F82-G82</x:f>
        <x:v>44.000000000000114</x:v>
      </x:c>
    </x:row>
    <x:row r="83" ht="30" customHeight="1">
      <x:c r="A83" s="13" t="n">
        <x:v>46299</x:v>
      </x:c>
      <x:c r="B83" s="7" t="str">
        <x:v>RM-303-30</x:v>
      </x:c>
      <x:c r="C83" s="7" t="n">
        <x:f>F79</x:f>
        <x:v>868</x:v>
      </x:c>
      <x:c r="D83" s="7" t="n">
        <x:f>SUMIFS('在途採購'!C$2:C$4,'在途採購'!B$2:B$4,B83,'在途採購'!D$2:D$4,A83)</x:f>
        <x:v>0</x:v>
      </x:c>
      <x:c r="E83" s="7" t="n">
        <x:f>SUMIFS('日別領料'!F$2:F$80,'日別領料'!D$2:D$80,B83,'日別領料'!A$2:A$80,A83)</x:f>
        <x:v>0</x:v>
      </x:c>
      <x:c r="F83" s="7" t="n">
        <x:f>C83+D83-E83</x:f>
        <x:v>868</x:v>
      </x:c>
      <x:c r="G83" s="7" t="n">
        <x:f>'原物料庫存'!E3</x:f>
        <x:v>200</x:v>
      </x:c>
      <x:c r="H83" s="7" t="n">
        <x:f>F83-G83</x:f>
        <x:v>668</x:v>
      </x:c>
    </x:row>
    <x:row r="84" ht="30" customHeight="1">
      <x:c r="A84" s="13" t="n">
        <x:v>46299</x:v>
      </x:c>
      <x:c r="B84" s="7" t="str">
        <x:v>RM-304-25</x:v>
      </x:c>
      <x:c r="C84" s="7" t="n">
        <x:f>F80</x:f>
        <x:v>210</x:v>
      </x:c>
      <x:c r="D84" s="7" t="n">
        <x:f>SUMIFS('在途採購'!C$2:C$4,'在途採購'!B$2:B$4,B84,'在途採購'!D$2:D$4,A84)</x:f>
        <x:v>0</x:v>
      </x:c>
      <x:c r="E84" s="7" t="n">
        <x:f>SUMIFS('日別領料'!F$2:F$80,'日別領料'!D$2:D$80,B84,'日別領料'!A$2:A$80,A84)</x:f>
        <x:v>0</x:v>
      </x:c>
      <x:c r="F84" s="7" t="n">
        <x:f>C84+D84-E84</x:f>
        <x:v>210</x:v>
      </x:c>
      <x:c r="G84" s="7" t="n">
        <x:f>'原物料庫存'!E4</x:f>
        <x:v>150</x:v>
      </x:c>
      <x:c r="H84" s="7" t="n">
        <x:f>F84-G84</x:f>
        <x:v>60</x:v>
      </x:c>
    </x:row>
    <x:row r="85" ht="30" customHeight="1">
      <x:c r="A85" s="13" t="n">
        <x:v>46299</x:v>
      </x:c>
      <x:c r="B85" s="7" t="str">
        <x:v>CH-HC-01</x:v>
      </x:c>
      <x:c r="C85" s="7" t="n">
        <x:f>F81</x:f>
        <x:v>106</x:v>
      </x:c>
      <x:c r="D85" s="7" t="n">
        <x:f>SUMIFS('在途採購'!C$2:C$4,'在途採購'!B$2:B$4,B85,'在途採購'!D$2:D$4,A85)</x:f>
        <x:v>0</x:v>
      </x:c>
      <x:c r="E85" s="7" t="n">
        <x:f>SUMIFS('日別領料'!F$2:F$80,'日別領料'!D$2:D$80,B85,'日別領料'!A$2:A$80,A85)</x:f>
        <x:v>0</x:v>
      </x:c>
      <x:c r="F85" s="7" t="n">
        <x:f>C85+D85-E85</x:f>
        <x:v>106</x:v>
      </x:c>
      <x:c r="G85" s="7" t="n">
        <x:f>'原物料庫存'!E5</x:f>
        <x:v>50</x:v>
      </x:c>
      <x:c r="H85" s="7" t="n">
        <x:f>F85-G85</x:f>
        <x:v>56</x:v>
      </x:c>
    </x:row>
    <x:row r="86" ht="30" customHeight="1">
      <x:c r="A86" s="13" t="n">
        <x:v>46300</x:v>
      </x:c>
      <x:c r="B86" s="7" t="str">
        <x:v>RM-303-25</x:v>
      </x:c>
      <x:c r="C86" s="7" t="n">
        <x:f>F82</x:f>
        <x:v>244.0000000000001</x:v>
      </x:c>
      <x:c r="D86" s="7" t="n">
        <x:f>SUMIFS('在途採購'!C$2:C$4,'在途採購'!B$2:B$4,B86,'在途採購'!D$2:D$4,A86)</x:f>
        <x:v>0</x:v>
      </x:c>
      <x:c r="E86" s="7" t="n">
        <x:f>SUMIFS('日別領料'!F$2:F$80,'日別領料'!D$2:D$80,B86,'日別領料'!A$2:A$80,A86)</x:f>
        <x:v>0</x:v>
      </x:c>
      <x:c r="F86" s="7" t="n">
        <x:f>C86+D86-E86</x:f>
        <x:v>244.0000000000001</x:v>
      </x:c>
      <x:c r="G86" s="7" t="n">
        <x:f>'原物料庫存'!E2</x:f>
        <x:v>200</x:v>
      </x:c>
      <x:c r="H86" s="7" t="n">
        <x:f>F86-G86</x:f>
        <x:v>44.000000000000114</x:v>
      </x:c>
    </x:row>
    <x:row r="87" ht="30" customHeight="1">
      <x:c r="A87" s="13" t="n">
        <x:v>46300</x:v>
      </x:c>
      <x:c r="B87" s="7" t="str">
        <x:v>RM-303-30</x:v>
      </x:c>
      <x:c r="C87" s="7" t="n">
        <x:f>F83</x:f>
        <x:v>868</x:v>
      </x:c>
      <x:c r="D87" s="7" t="n">
        <x:f>SUMIFS('在途採購'!C$2:C$4,'在途採購'!B$2:B$4,B87,'在途採購'!D$2:D$4,A87)</x:f>
        <x:v>0</x:v>
      </x:c>
      <x:c r="E87" s="7" t="n">
        <x:f>SUMIFS('日別領料'!F$2:F$80,'日別領料'!D$2:D$80,B87,'日別領料'!A$2:A$80,A87)</x:f>
        <x:v>0</x:v>
      </x:c>
      <x:c r="F87" s="7" t="n">
        <x:f>C87+D87-E87</x:f>
        <x:v>868</x:v>
      </x:c>
      <x:c r="G87" s="7" t="n">
        <x:f>'原物料庫存'!E3</x:f>
        <x:v>200</x:v>
      </x:c>
      <x:c r="H87" s="7" t="n">
        <x:f>F87-G87</x:f>
        <x:v>668</x:v>
      </x:c>
    </x:row>
    <x:row r="88" ht="30" customHeight="1">
      <x:c r="A88" s="13" t="n">
        <x:v>46300</x:v>
      </x:c>
      <x:c r="B88" s="7" t="str">
        <x:v>RM-304-25</x:v>
      </x:c>
      <x:c r="C88" s="7" t="n">
        <x:f>F84</x:f>
        <x:v>210</x:v>
      </x:c>
      <x:c r="D88" s="7" t="n">
        <x:f>SUMIFS('在途採購'!C$2:C$4,'在途採購'!B$2:B$4,B88,'在途採購'!D$2:D$4,A88)</x:f>
        <x:v>0</x:v>
      </x:c>
      <x:c r="E88" s="7" t="n">
        <x:f>SUMIFS('日別領料'!F$2:F$80,'日別領料'!D$2:D$80,B88,'日別領料'!A$2:A$80,A88)</x:f>
        <x:v>0</x:v>
      </x:c>
      <x:c r="F88" s="7" t="n">
        <x:f>C88+D88-E88</x:f>
        <x:v>210</x:v>
      </x:c>
      <x:c r="G88" s="7" t="n">
        <x:f>'原物料庫存'!E4</x:f>
        <x:v>150</x:v>
      </x:c>
      <x:c r="H88" s="7" t="n">
        <x:f>F88-G88</x:f>
        <x:v>60</x:v>
      </x:c>
    </x:row>
    <x:row r="89" ht="30" customHeight="1">
      <x:c r="A89" s="13" t="n">
        <x:v>46300</x:v>
      </x:c>
      <x:c r="B89" s="7" t="str">
        <x:v>CH-HC-01</x:v>
      </x:c>
      <x:c r="C89" s="7" t="n">
        <x:f>F85</x:f>
        <x:v>106</x:v>
      </x:c>
      <x:c r="D89" s="7" t="n">
        <x:f>SUMIFS('在途採購'!C$2:C$4,'在途採購'!B$2:B$4,B89,'在途採購'!D$2:D$4,A89)</x:f>
        <x:v>0</x:v>
      </x:c>
      <x:c r="E89" s="7" t="n">
        <x:f>SUMIFS('日別領料'!F$2:F$80,'日別領料'!D$2:D$80,B89,'日別領料'!A$2:A$80,A89)</x:f>
        <x:v>2</x:v>
      </x:c>
      <x:c r="F89" s="7" t="n">
        <x:f>C89+D89-E89</x:f>
        <x:v>104</x:v>
      </x:c>
      <x:c r="G89" s="7" t="n">
        <x:f>'原物料庫存'!E5</x:f>
        <x:v>50</x:v>
      </x:c>
      <x:c r="H89" s="7" t="n">
        <x:f>F89-G89</x:f>
        <x:v>54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4" hidden="0" customWidth="1"/>
    <x:col min="4" max="4" width="51" hidden="0" customWidth="1"/>
    <x:col min="5" max="5" width="70" hidden="0" customWidth="1"/>
  </x:cols>
  <x:sheetData>
    <x:row r="1" ht="38" customHeight="1">
      <x:c r="A1" s="17" t="str">
        <x:v>類別</x:v>
      </x:c>
      <x:c r="B1" s="17" t="str">
        <x:v>品號</x:v>
      </x:c>
      <x:c r="C1" s="17" t="str">
        <x:v>件數</x:v>
      </x:c>
      <x:c r="D1" s="17" t="str">
        <x:v>狀態</x:v>
      </x:c>
      <x:c r="E1" s="17" t="str">
        <x:v>本期處理</x:v>
      </x:c>
    </x:row>
    <x:row r="2" ht="30" customHeight="1">
      <x:c r="A2" s="7" t="str">
        <x:v>在製品</x:v>
      </x:c>
      <x:c r="B2" s="7" t="str">
        <x:v>HD-750</x:v>
      </x:c>
      <x:c r="C2" s="7" t="n">
        <x:v>3200</x:v>
      </x:c>
      <x:c r="D2" s="7" t="str">
        <x:v>9/11前CNC完成，原料480kg已耗用</x:v>
      </x:c>
      <x:c r="E2" s="7" t="str">
        <x:v>本期僅電鍍與檢驗；避免原料/CNC重算</x:v>
      </x:c>
    </x:row>
    <x:row r="3" ht="30" customHeight="1">
      <x:c r="A3" s="7" t="str">
        <x:v>合格成品</x:v>
      </x:c>
      <x:c r="B3" s="7" t="str">
        <x:v>DC-1120</x:v>
      </x:c>
      <x:c r="C3" s="7" t="n">
        <x:v>5</x:v>
      </x:c>
      <x:c r="D3" s="7" t="str">
        <x:v>客訴補貨可用</x:v>
      </x:c>
      <x:c r="E3" s="7" t="str">
        <x:v>9/15取3件出貨；剩2件</x:v>
      </x:c>
    </x:row>
    <x:row r="4" ht="30" customHeight="1">
      <x:c r="A4" s="7" t="str">
        <x:v>客戶退回品</x:v>
      </x:c>
      <x:c r="B4" s="7" t="str">
        <x:v>DC-1120</x:v>
      </x:c>
      <x:c r="C4" s="7" t="n">
        <x:v>497</x:v>
      </x:c>
      <x:c r="D4" s="7" t="str">
        <x:v>9/10上午到廠</x:v>
      </x:c>
      <x:c r="E4" s="7" t="str">
        <x:v>9/10檢250、9/11檢247；皆合格9/15返還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45" customHeight="1">
      <x:c r="A1" s="17" t="str">
        <x:v>項目</x:v>
      </x:c>
      <x:c r="B1" s="17" t="str">
        <x:v>規則</x:v>
      </x:c>
    </x:row>
    <x:row r="2" ht="45" customHeight="1">
      <x:c r="A2" s="7" t="str">
        <x:v>版本</x:v>
      </x:c>
      <x:c r="B2" s="7" t="str">
        <x:v>FANYA20260912V2；虛構工廠，所有數值為示範假設</x:v>
      </x:c>
    </x:row>
    <x:row r="3" ht="45" customHeight="1">
      <x:c r="A3" s="7" t="str">
        <x:v>期初口徑</x:v>
      </x:c>
      <x:c r="B3" s="7" t="str">
        <x:v>9/14 08:00實體原料庫存；未扣本期工單占料；待核准新料到貨前</x:v>
      </x:c>
    </x:row>
    <x:row r="4" ht="45" customHeight="1">
      <x:c r="A4" s="7" t="str">
        <x:v>安全庫存</x:v>
      </x:c>
      <x:c r="B4" s="7" t="str">
        <x:v>全期都須保留；採購500kg後RM-303-25最低244kg，高於200kg</x:v>
      </x:c>
    </x:row>
    <x:row r="5" ht="45" customHeight="1">
      <x:c r="A5" s="7" t="str">
        <x:v>採購數量</x:v>
      </x:c>
      <x:c r="B5" s="7" t="str">
        <x:v>淨缺256kg；保安全需求456kg；以50kg包裝倍數採購500kg</x:v>
      </x:c>
    </x:row>
    <x:row r="6" ht="45" customHeight="1">
      <x:c r="A6" s="7" t="str">
        <x:v>到貨條件</x:v>
      </x:c>
      <x:c r="B6" s="7" t="str">
        <x:v>9/9提出PR-V2-30325；3工作日後9/14 08:00到貨，9/11前確認</x:v>
      </x:c>
    </x:row>
    <x:row r="7" ht="45" customHeight="1">
      <x:c r="A7" s="7" t="str">
        <x:v>定額</x:v>
      </x:c>
      <x:c r="B7" s="7" t="str">
        <x:v>BOM已含損耗，不再追加損耗；其他耗材已含加工或檢驗成本</x:v>
      </x:c>
    </x:row>
    <x:row r="8" ht="45" customHeight="1">
      <x:c r="A8" s="7" t="str">
        <x:v>在製品</x:v>
      </x:c>
      <x:c r="B8" s="7" t="str">
        <x:v>HD-750的480kg在9/11前已领用；不包含在310kg期初，也不重扣</x:v>
      </x:c>
    </x:row>
    <x:row r="9" ht="45" customHeight="1">
      <x:c r="A9" s="7" t="str">
        <x:v>外包藥劑</x:v>
      </x:c>
      <x:c r="B9" s="7" t="str">
        <x:v>YF-2048外包12元單價包含供應商藥劑；本廠不领用</x:v>
      </x:c>
    </x:row>
    <x:row r="10" ht="45" customHeight="1">
      <x:c r="A10" s="7" t="str">
        <x:v>模型連動</x:v>
      </x:c>
      <x:c r="B10" s="7" t="str">
        <x:v>同一份case_model.json生成三表；跨檔輸入為V2快照，改版須三表一起重建</x:v>
      </x:c>
    </x:row>
  </x:sheetData>
  <x:pageMargins left="0.7" right="0.7" top="0.75" bottom="0.75" header="0.3" footer="0.3"/>
</x:worksheet>
</file>