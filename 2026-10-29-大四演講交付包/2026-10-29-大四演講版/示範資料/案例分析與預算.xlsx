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歷史比較" sheetId="1" state="visible" r:id="rId1"/>
    <sheet xmlns:r="http://schemas.openxmlformats.org/officeDocument/2006/relationships" name="試行預算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1">
    <font>
      <name val="Carlito"/>
      <sz val="11"/>
    </font>
    <font>
      <name val="Microsoft JhengHei"/>
      <sz val="11"/>
    </font>
    <font>
      <name val="Microsoft JhengHei"/>
      <sz val="12"/>
    </font>
    <font>
      <name val="Microsoft JhengHei"/>
      <b val="1"/>
      <sz val="12"/>
    </font>
    <font>
      <name val="Microsoft JhengHei"/>
      <b val="1"/>
      <sz val="18"/>
    </font>
    <font>
      <name val="Microsoft JhengHei"/>
      <b val="1"/>
      <color rgb="FF2E5A36"/>
      <sz val="18"/>
    </font>
    <font>
      <name val="Microsoft JhengHei"/>
      <color rgb="FFFFFFFF"/>
      <sz val="12"/>
    </font>
    <font>
      <name val="Carlito"/>
      <b val="1"/>
      <sz val="11"/>
    </font>
    <font>
      <name val="Carlito"/>
      <b val="1"/>
      <sz val="18"/>
    </font>
    <font>
      <name val="Carlito"/>
      <b val="1"/>
      <color rgb="FF2E5A36"/>
      <sz val="18"/>
    </font>
    <font>
      <name val="Carlito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E5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  <xf numFmtId="3" fontId="2" fillId="0" borderId="0" applyAlignment="1" pivotButton="0" quotePrefix="0" xfId="0">
      <alignment vertical="center" wrapText="1"/>
    </xf>
    <xf numFmtId="165" fontId="2" fillId="0" borderId="0" applyAlignment="1" pivotButton="0" quotePrefix="0" xfId="0">
      <alignment vertical="center" wrapText="1"/>
    </xf>
    <xf numFmtId="2" fontId="2" fillId="0" borderId="0" applyAlignment="1" pivotButton="0" quotePrefix="0" xfId="0">
      <alignment vertical="center" wrapText="1"/>
    </xf>
    <xf numFmtId="4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2" borderId="0" pivotButton="0" quotePrefix="0" xfId="0"/>
    <xf numFmtId="0" fontId="10" fillId="2" borderId="0" pivotButton="0" quotePrefix="0" xfId="0"/>
    <xf numFmtId="164" fontId="2" fillId="0" borderId="0" applyAlignment="1" pivotButton="0" quotePrefix="0" xfId="0">
      <alignment vertical="center" wrapText="1"/>
    </xf>
    <xf numFmtId="3" fontId="2" fillId="0" borderId="0" applyAlignment="1" pivotButton="0" quotePrefix="0" xfId="0">
      <alignment vertical="center" wrapText="1"/>
    </xf>
    <xf numFmtId="165" fontId="2" fillId="0" borderId="0" applyAlignment="1" pivotButton="0" quotePrefix="0" xfId="0">
      <alignment vertical="center" wrapText="1"/>
    </xf>
    <xf numFmtId="2" fontId="2" fillId="0" borderId="0" applyAlignment="1" pivotButton="0" quotePrefix="0" xfId="0">
      <alignment vertical="center" wrapText="1"/>
    </xf>
    <xf numFmtId="4" fontId="2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2" t="inlineStr">
        <is>
          <t>課後咖啡｜虛構教學模擬，不是真實店家或成效</t>
        </is>
      </c>
    </row>
    <row r="2" ht="28" customHeight="1">
      <c r="A2" s="4" t="inlineStr">
        <is>
          <t>講者參考表含計算答案，不作示範一初始輸入。版本 AFTERCLASS-COFFEE-20261029-v1</t>
        </is>
      </c>
    </row>
    <row r="3" ht="28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 ht="60" customHeight="1">
      <c r="A4" s="14" t="inlineStr">
        <is>
          <t>活動</t>
        </is>
      </c>
      <c r="B4" s="14" t="inlineStr">
        <is>
          <t>開始日期</t>
        </is>
      </c>
      <c r="C4" s="14" t="inlineStr">
        <is>
          <t>結束日期</t>
        </is>
      </c>
      <c r="D4" s="14" t="inlineStr">
        <is>
          <t>固定支出元</t>
        </is>
      </c>
      <c r="E4" s="14" t="inlineStr">
        <is>
          <t>平台觸及</t>
        </is>
      </c>
      <c r="F4" s="14" t="inlineStr">
        <is>
          <t>領券帳號</t>
        </is>
      </c>
      <c r="G4" s="14" t="inlineStr">
        <is>
          <t>核銷訂單</t>
        </is>
      </c>
      <c r="H4" s="14" t="inlineStr">
        <is>
          <t>首次核銷實收元</t>
        </is>
      </c>
      <c r="I4" s="14" t="inlineStr">
        <is>
          <t>商品變動成本元</t>
        </is>
      </c>
      <c r="J4" s="14" t="inlineStr">
        <is>
          <t>首次付款新會員</t>
        </is>
      </c>
      <c r="K4" s="14" t="inlineStr">
        <is>
          <t>30天內再次付費新會員</t>
        </is>
      </c>
    </row>
    <row r="5" ht="28" customHeight="1">
      <c r="A5" s="4" t="inlineStr">
        <is>
          <t>A 到店抽獎券</t>
        </is>
      </c>
      <c r="B5" s="20" t="n">
        <v>46146</v>
      </c>
      <c r="C5" s="20" t="n">
        <v>46157</v>
      </c>
      <c r="D5" s="21" t="n">
        <v>6000</v>
      </c>
      <c r="E5" s="21" t="n">
        <v>24000</v>
      </c>
      <c r="F5" s="21" t="n">
        <v>600</v>
      </c>
      <c r="G5" s="21" t="n">
        <v>30</v>
      </c>
      <c r="H5" s="21" t="n">
        <v>2700</v>
      </c>
      <c r="I5" s="21" t="n">
        <v>900</v>
      </c>
      <c r="J5" s="21" t="n">
        <v>24</v>
      </c>
      <c r="K5" s="21" t="n">
        <v>3</v>
      </c>
    </row>
    <row r="6" ht="28" customHeight="1">
      <c r="A6" s="4" t="inlineStr">
        <is>
          <t>B 單杯折價券</t>
        </is>
      </c>
      <c r="B6" s="20" t="n">
        <v>46174</v>
      </c>
      <c r="C6" s="20" t="n">
        <v>46185</v>
      </c>
      <c r="D6" s="21" t="n">
        <v>4000</v>
      </c>
      <c r="E6" s="21" t="n">
        <v>8000</v>
      </c>
      <c r="F6" s="21" t="n">
        <v>240</v>
      </c>
      <c r="G6" s="21" t="n">
        <v>96</v>
      </c>
      <c r="H6" s="21" t="n">
        <v>7200</v>
      </c>
      <c r="I6" s="21" t="n">
        <v>2880</v>
      </c>
      <c r="J6" s="21" t="n">
        <v>72</v>
      </c>
      <c r="K6" s="21" t="n">
        <v>9</v>
      </c>
    </row>
    <row r="7" ht="28" customHeight="1">
      <c r="A7" s="4" t="inlineStr">
        <is>
          <t>C 雙人分享券</t>
        </is>
      </c>
      <c r="B7" s="20" t="n">
        <v>46272</v>
      </c>
      <c r="C7" s="20" t="n">
        <v>46283</v>
      </c>
      <c r="D7" s="21" t="n">
        <v>5000</v>
      </c>
      <c r="E7" s="21" t="n">
        <v>6000</v>
      </c>
      <c r="F7" s="21" t="n">
        <v>180</v>
      </c>
      <c r="G7" s="21" t="n">
        <v>90</v>
      </c>
      <c r="H7" s="21" t="n">
        <v>16200</v>
      </c>
      <c r="I7" s="21" t="n">
        <v>7200</v>
      </c>
      <c r="J7" s="21" t="n">
        <v>60</v>
      </c>
      <c r="K7" s="21" t="n">
        <v>18</v>
      </c>
    </row>
    <row r="8" ht="28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 ht="28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 ht="28" customHeight="1">
      <c r="A10" s="4" t="inlineStr">
        <is>
          <t>活動</t>
        </is>
      </c>
      <c r="B10" s="4" t="inlineStr">
        <is>
          <t>核銷率</t>
        </is>
      </c>
      <c r="C10" s="4" t="inlineStr">
        <is>
          <t>固定支出／新客</t>
        </is>
      </c>
      <c r="D10" s="4" t="inlineStr">
        <is>
          <t>30天新客回購率</t>
        </is>
      </c>
      <c r="E10" s="4" t="inlineStr">
        <is>
          <t>首次訂單貢獻</t>
        </is>
      </c>
      <c r="F10" s="4" t="inlineStr">
        <is>
          <t>再扣活動固定費</t>
        </is>
      </c>
      <c r="G10" s="4" t="n"/>
      <c r="H10" s="4" t="n"/>
      <c r="I10" s="4" t="n"/>
      <c r="J10" s="4" t="n"/>
      <c r="K10" s="4" t="n"/>
    </row>
    <row r="11" ht="28" customHeight="1">
      <c r="A11" s="4">
        <f>A5</f>
        <v/>
      </c>
      <c r="B11" s="22">
        <f>G5/F5</f>
        <v/>
      </c>
      <c r="C11" s="23">
        <f>D5/J5</f>
        <v/>
      </c>
      <c r="D11" s="22">
        <f>K5/J5</f>
        <v/>
      </c>
      <c r="E11" s="21">
        <f>H5-I5</f>
        <v/>
      </c>
      <c r="F11" s="21">
        <f>E11-D5</f>
        <v/>
      </c>
      <c r="G11" s="4" t="n"/>
      <c r="H11" s="4" t="n"/>
      <c r="I11" s="4" t="n"/>
      <c r="J11" s="4" t="n"/>
      <c r="K11" s="4" t="n"/>
    </row>
    <row r="12" ht="28" customHeight="1">
      <c r="A12" s="4">
        <f>A6</f>
        <v/>
      </c>
      <c r="B12" s="22">
        <f>G6/F6</f>
        <v/>
      </c>
      <c r="C12" s="23">
        <f>D6/J6</f>
        <v/>
      </c>
      <c r="D12" s="22">
        <f>K6/J6</f>
        <v/>
      </c>
      <c r="E12" s="21">
        <f>H6-I6</f>
        <v/>
      </c>
      <c r="F12" s="21">
        <f>E12-D6</f>
        <v/>
      </c>
      <c r="G12" s="4" t="n"/>
      <c r="H12" s="4" t="n"/>
      <c r="I12" s="4" t="n"/>
      <c r="J12" s="4" t="n"/>
      <c r="K12" s="4" t="n"/>
    </row>
    <row r="13" ht="28" customHeight="1">
      <c r="A13" s="4">
        <f>A7</f>
        <v/>
      </c>
      <c r="B13" s="22">
        <f>G7/F7</f>
        <v/>
      </c>
      <c r="C13" s="23">
        <f>D7/J7</f>
        <v/>
      </c>
      <c r="D13" s="22">
        <f>K7/J7</f>
        <v/>
      </c>
      <c r="E13" s="21">
        <f>H7-I7</f>
        <v/>
      </c>
      <c r="F13" s="21">
        <f>E13-D7</f>
        <v/>
      </c>
      <c r="G13" s="4" t="n"/>
      <c r="H13" s="4" t="n"/>
      <c r="I13" s="4" t="n"/>
      <c r="J13" s="4" t="n"/>
      <c r="K13" s="4" t="n"/>
    </row>
    <row r="14" ht="28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 ht="28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 ht="28" customHeight="1">
      <c r="A16" s="4" t="inlineStr">
        <is>
          <t>來源：父任務提供的唯一虛構案例；完整定義見01_初始品牌資料.md、歷史活動.csv。</t>
        </is>
      </c>
    </row>
    <row r="17" ht="28" customHeight="1">
      <c r="A17" s="4" t="inlineStr">
        <is>
          <t>每活動10個平日下午；A每杯90元、B每杯75元、C每套餐180元。</t>
        </is>
      </c>
    </row>
    <row r="18" ht="28" customHeight="1">
      <c r="A18" s="4" t="inlineStr">
        <is>
          <t>一券一次、一核銷一付款訂單。雙人套餐不等於兩位新客，只計付款會員。</t>
        </is>
      </c>
    </row>
    <row r="19" ht="28" customHeight="1">
      <c r="A19" s="4" t="inlineStr">
        <is>
          <t>新客為完整會員紀錄首次付費；回購每人一次；歷史觀察均滿30天。</t>
        </is>
      </c>
    </row>
    <row r="20" ht="28" customHeight="1">
      <c r="A20" s="4" t="inlineStr">
        <is>
          <t>實收成本只含首次核銷，不含回購。觸及不跨活動加總。</t>
        </is>
      </c>
    </row>
    <row r="21" ht="28" customHeight="1">
      <c r="A21" s="4" t="inlineStr">
        <is>
          <t>不同月份、渠道、客群，不推因果，不直接預測。固定支出/新客不是增量CAC。</t>
        </is>
      </c>
    </row>
    <row r="22" ht="28" customHeight="1">
      <c r="A22" s="4" t="inlineStr">
        <is>
          <t>貢獻及扣活動固定費後餘額都不是淨利，未扣固定薪資、租金、稅等。</t>
        </is>
      </c>
    </row>
    <row r="23" ht="28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</sheetData>
  <mergeCells count="9">
    <mergeCell ref="A22:K22"/>
    <mergeCell ref="A18:K18"/>
    <mergeCell ref="A20:K20"/>
    <mergeCell ref="A21:K21"/>
    <mergeCell ref="A2:K2"/>
    <mergeCell ref="A16:K16"/>
    <mergeCell ref="A19:K19"/>
    <mergeCell ref="A1:K1"/>
    <mergeCell ref="A17:K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30" customWidth="1" min="1" max="1"/>
    <col width="18" customWidth="1" min="2" max="2"/>
    <col width="48" customWidth="1" min="3" max="3"/>
    <col width="18" customWidth="1" min="4" max="4"/>
  </cols>
  <sheetData>
    <row r="1" ht="28" customHeight="1">
      <c r="A1" s="12" t="inlineStr">
        <is>
          <t>試行方案｜虛構教學模擬，不是真實店家或成效</t>
        </is>
      </c>
      <c r="E1" s="17" t="n"/>
      <c r="F1" s="17" t="n"/>
      <c r="G1" s="17" t="n"/>
      <c r="H1" s="17" t="n"/>
      <c r="I1" s="17" t="n"/>
      <c r="J1" s="17" t="n"/>
      <c r="K1" s="17" t="n"/>
    </row>
    <row r="2" ht="28" customHeight="1">
      <c r="A2" s="4" t="inlineStr">
        <is>
          <t>提案／目標／假設，尚未核准、投放或成交。不是預測。</t>
        </is>
      </c>
    </row>
    <row r="3" ht="28" customHeight="1">
      <c r="A3" s="4" t="n"/>
      <c r="B3" s="4" t="n"/>
      <c r="C3" s="4" t="n"/>
      <c r="D3" s="4" t="n"/>
    </row>
    <row r="4" ht="28" customHeight="1">
      <c r="A4" s="14" t="inlineStr">
        <is>
          <t>輸入或計算</t>
        </is>
      </c>
      <c r="B4" s="14" t="inlineStr">
        <is>
          <t>數值</t>
        </is>
      </c>
      <c r="C4" s="14" t="inlineStr">
        <is>
          <t>口徑</t>
        </is>
      </c>
      <c r="D4" s="14" t="n"/>
      <c r="E4" s="19" t="n"/>
      <c r="F4" s="19" t="n"/>
      <c r="G4" s="19" t="n"/>
      <c r="H4" s="19" t="n"/>
      <c r="I4" s="19" t="n"/>
      <c r="J4" s="19" t="n"/>
      <c r="K4" s="19" t="n"/>
    </row>
    <row r="5" ht="28" customHeight="1">
      <c r="A5" s="4" t="inlineStr">
        <is>
          <t>活動固定預算上限</t>
        </is>
      </c>
      <c r="B5" s="24" t="n">
        <v>6000</v>
      </c>
      <c r="C5" s="4" t="inlineStr">
        <is>
          <t>商品變動成本另列</t>
        </is>
      </c>
      <c r="D5" s="4" t="n"/>
    </row>
    <row r="6" ht="28" customHeight="1">
      <c r="A6" s="4" t="inlineStr">
        <is>
          <t>廣告提案</t>
        </is>
      </c>
      <c r="B6" s="24" t="n">
        <v>3000</v>
      </c>
      <c r="C6" s="4" t="inlineStr">
        <is>
          <t>待店主核准</t>
        </is>
      </c>
      <c r="D6" s="4" t="n"/>
    </row>
    <row r="7" ht="28" customHeight="1">
      <c r="A7" s="4" t="inlineStr">
        <is>
          <t>素材提案</t>
        </is>
      </c>
      <c r="B7" s="24" t="n">
        <v>1000</v>
      </c>
      <c r="C7" s="4" t="inlineStr">
        <is>
          <t>待店主核准</t>
        </is>
      </c>
      <c r="D7" s="4" t="n"/>
    </row>
    <row r="8" ht="28" customHeight="1">
      <c r="A8" s="4" t="inlineStr">
        <is>
          <t>告示提案</t>
        </is>
      </c>
      <c r="B8" s="24" t="n">
        <v>500</v>
      </c>
      <c r="C8" s="4" t="inlineStr">
        <is>
          <t>待店主核准</t>
        </is>
      </c>
      <c r="D8" s="4" t="n"/>
    </row>
    <row r="9" ht="28" customHeight="1">
      <c r="A9" s="4" t="inlineStr">
        <is>
          <t>活動固定費提案</t>
        </is>
      </c>
      <c r="B9" s="24">
        <f>SUM(B6:B8)</f>
        <v/>
      </c>
      <c r="C9" s="4" t="inlineStr">
        <is>
          <t>不是已實際支出</t>
        </is>
      </c>
      <c r="D9" s="4" t="n"/>
    </row>
    <row r="10" ht="28" customHeight="1">
      <c r="A10" s="4" t="inlineStr">
        <is>
          <t>保留額</t>
        </is>
      </c>
      <c r="B10" s="24">
        <f>B5-B9</f>
        <v/>
      </c>
      <c r="C10" s="4" t="inlineStr">
        <is>
          <t>不是已花費</t>
        </is>
      </c>
      <c r="D10" s="4" t="n"/>
    </row>
    <row r="11" ht="28" customHeight="1">
      <c r="A11" s="4" t="inlineStr">
        <is>
          <t>試行核銷目標</t>
        </is>
      </c>
      <c r="B11" s="24" t="n">
        <v>80</v>
      </c>
      <c r="C11" s="4" t="inlineStr">
        <is>
          <t>非預測</t>
        </is>
      </c>
      <c r="D11" s="4" t="n"/>
    </row>
    <row r="12" ht="28" customHeight="1">
      <c r="A12" s="4" t="inlineStr">
        <is>
          <t>每筆套餐實收</t>
        </is>
      </c>
      <c r="B12" s="24" t="n">
        <v>180</v>
      </c>
      <c r="C12" s="4" t="inlineStr">
        <is>
          <t>兩杯指定飲品＋餅乾</t>
        </is>
      </c>
      <c r="D12" s="4" t="n"/>
    </row>
    <row r="13" ht="28" customHeight="1">
      <c r="A13" s="4" t="inlineStr">
        <is>
          <t>每筆變動成本</t>
        </is>
      </c>
      <c r="B13" s="24" t="n">
        <v>80</v>
      </c>
      <c r="C13" s="4" t="inlineStr">
        <is>
          <t>30×2＋20</t>
        </is>
      </c>
      <c r="D13" s="4" t="n"/>
    </row>
    <row r="14" ht="28" customHeight="1">
      <c r="A14" s="4" t="inlineStr">
        <is>
          <t>每筆貢獻</t>
        </is>
      </c>
      <c r="B14" s="24">
        <f>B12-B13</f>
        <v/>
      </c>
      <c r="C14" s="4" t="inlineStr">
        <is>
          <t>未扣固定費</t>
        </is>
      </c>
      <c r="D14" s="4" t="n"/>
    </row>
    <row r="15" ht="28" customHeight="1">
      <c r="A15" s="4" t="inlineStr">
        <is>
          <t>情境實收</t>
        </is>
      </c>
      <c r="B15" s="24">
        <f>B11*B12</f>
        <v/>
      </c>
      <c r="C15" s="4" t="inlineStr">
        <is>
          <t>只含首次核銷</t>
        </is>
      </c>
      <c r="D15" s="4" t="n"/>
    </row>
    <row r="16" ht="28" customHeight="1">
      <c r="A16" s="4" t="inlineStr">
        <is>
          <t>情境變動成本</t>
        </is>
      </c>
      <c r="B16" s="24">
        <f>B11*B13</f>
        <v/>
      </c>
      <c r="C16" s="4" t="inlineStr">
        <is>
          <t>不含固定薪資租金等</t>
        </is>
      </c>
      <c r="D16" s="4" t="n"/>
    </row>
    <row r="17" ht="28" customHeight="1">
      <c r="A17" s="4" t="inlineStr">
        <is>
          <t>情境貢獻</t>
        </is>
      </c>
      <c r="B17" s="24">
        <f>B15-B16</f>
        <v/>
      </c>
      <c r="C17" s="4" t="inlineStr">
        <is>
          <t>不是淨利</t>
        </is>
      </c>
      <c r="D17" s="4" t="n"/>
    </row>
    <row r="18" ht="28" customHeight="1">
      <c r="A18" s="4" t="inlineStr">
        <is>
          <t>再扣活動固定費</t>
        </is>
      </c>
      <c r="B18" s="24">
        <f>B17-B9</f>
        <v/>
      </c>
      <c r="C18" s="4" t="inlineStr">
        <is>
          <t>不是淨利、預測或增量證明</t>
        </is>
      </c>
      <c r="D18" s="4" t="n"/>
    </row>
    <row r="19" ht="28" customHeight="1">
      <c r="A19" s="4" t="inlineStr">
        <is>
          <t>涵蓋提案固定費筆數</t>
        </is>
      </c>
      <c r="B19" s="24">
        <f>B9/B14</f>
        <v/>
      </c>
      <c r="C19" s="4" t="inlineStr">
        <is>
          <t>不是全店損益兩平</t>
        </is>
      </c>
      <c r="D19" s="4" t="n"/>
    </row>
    <row r="20" ht="28" customHeight="1">
      <c r="A20" s="4" t="inlineStr">
        <is>
          <t>花滿上限需涵蓋筆數</t>
        </is>
      </c>
      <c r="B20" s="24">
        <f>B5/B14</f>
        <v/>
      </c>
      <c r="C20" s="4" t="inlineStr">
        <is>
          <t>不是全店損益兩平</t>
        </is>
      </c>
      <c r="D20" s="4" t="n"/>
    </row>
    <row r="21" ht="28" customHeight="1">
      <c r="A21" s="4" t="inlineStr">
        <is>
          <t>實際每日額外上限</t>
        </is>
      </c>
      <c r="B21" s="24" t="n">
        <v>12</v>
      </c>
      <c r="C21" s="4" t="inlineStr">
        <is>
          <t>第二輪店長補充</t>
        </is>
      </c>
      <c r="D21" s="4" t="n"/>
    </row>
    <row r="22" ht="28" customHeight="1">
      <c r="A22" s="4" t="inlineStr">
        <is>
          <t>每日規劃名額</t>
        </is>
      </c>
      <c r="B22" s="24" t="n">
        <v>10</v>
      </c>
      <c r="C22" s="4" t="inlineStr">
        <is>
          <t>留2筆緩衝</t>
        </is>
      </c>
      <c r="D22" s="4" t="n"/>
    </row>
    <row r="23" ht="28" customHeight="1">
      <c r="A23" s="4" t="inlineStr">
        <is>
          <t>活動日數</t>
        </is>
      </c>
      <c r="B23" s="24" t="n">
        <v>10</v>
      </c>
      <c r="C23" s="4" t="inlineStr">
        <is>
          <t>11/2–11/13平日14–17點</t>
        </is>
      </c>
      <c r="D23" s="4" t="n"/>
    </row>
    <row r="24" ht="28" customHeight="1">
      <c r="A24" s="4" t="inlineStr">
        <is>
          <t>全期名額上限</t>
        </is>
      </c>
      <c r="B24" s="24">
        <f>B22*B23</f>
        <v/>
      </c>
      <c r="C24" s="4" t="inlineStr">
        <is>
          <t>不代表需求或新客數</t>
        </is>
      </c>
      <c r="D24" s="4" t="n"/>
    </row>
    <row r="25" ht="28" customHeight="1">
      <c r="A25" s="4" t="inlineStr">
        <is>
          <t>試行新客目標</t>
        </is>
      </c>
      <c r="B25" s="24" t="n">
        <v>60</v>
      </c>
      <c r="C25" s="4" t="inlineStr">
        <is>
          <t>75%新客占比是規劃假設</t>
        </is>
      </c>
      <c r="D25" s="4" t="n"/>
    </row>
    <row r="26" ht="28" customHeight="1">
      <c r="A26" s="4" t="inlineStr">
        <is>
          <t>新客占核銷比例</t>
        </is>
      </c>
      <c r="B26" s="22">
        <f>B25/B11</f>
        <v/>
      </c>
      <c r="C26" s="4" t="inlineStr">
        <is>
          <t>非歷史必然</t>
        </is>
      </c>
      <c r="D26" s="4" t="n"/>
    </row>
    <row r="27" ht="28" customHeight="1">
      <c r="A27" s="4" t="inlineStr">
        <is>
          <t>30天再次付費目標</t>
        </is>
      </c>
      <c r="B27" s="24" t="n">
        <v>18</v>
      </c>
      <c r="C27" s="4" t="inlineStr">
        <is>
          <t>最後觀察到12/13</t>
        </is>
      </c>
      <c r="D27" s="4" t="n"/>
    </row>
    <row r="28" ht="28" customHeight="1">
      <c r="A28" s="4" t="inlineStr">
        <is>
          <t>目標回購率</t>
        </is>
      </c>
      <c r="B28" s="22">
        <f>B27/B25</f>
        <v/>
      </c>
      <c r="C28" s="4" t="inlineStr">
        <is>
          <t>非保證</t>
        </is>
      </c>
      <c r="D28" s="4" t="n"/>
    </row>
    <row r="29" ht="28" customHeight="1">
      <c r="A29" s="4" t="n"/>
      <c r="B29" s="4" t="n"/>
      <c r="C29" s="4" t="n"/>
      <c r="D29" s="4" t="n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2026-10-28T14:46:16Z</dcterms:created>
  <dcterms:modified xmlns:dcterms="http://purl.org/dc/terms/" xmlns:xsi="http://www.w3.org/2001/XMLSchema-instance" xsi:type="dcterms:W3CDTF">2026-10-28T14:46:16Z</dcterms:modified>
</cp:coreProperties>
</file>