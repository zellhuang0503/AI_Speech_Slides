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bdeb21a0144d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歷史比較" sheetId="1" r:id="Rcc43e02213ea42fb"/>
    <x:sheet xmlns:r="http://schemas.openxmlformats.org/officeDocument/2006/relationships" name="試行預算" sheetId="2" r:id="R1ba3d54846b44e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#,##0"/>
    <x:numFmt numFmtId="202" formatCode="0.0%"/>
    <x:numFmt numFmtId="203" formatCode="0.00"/>
    <x:numFmt numFmtId="204" formatCode="#,##0.00"/>
  </x:numFmts>
  <x:fonts count="11">
    <x:font>
      <x:sz val="11"/>
      <x:name val="Carlito"/>
    </x:font>
    <x:font>
      <x:sz val="11"/>
      <x:name val="Microsoft JhengHei"/>
    </x:font>
    <x:font>
      <x:sz val="12"/>
      <x:name val="Microsoft JhengHei"/>
    </x:font>
    <x:font>
      <x:b/>
      <x:sz val="12"/>
      <x:name val="Microsoft JhengHei"/>
    </x:font>
    <x:font>
      <x:b/>
      <x:sz val="18"/>
      <x:name val="Microsoft JhengHei"/>
    </x:font>
    <x:font>
      <x:b/>
      <x:sz val="18"/>
      <x:color rgb="FF2E5A36"/>
      <x:name val="Microsoft JhengHei"/>
    </x:font>
    <x:font>
      <x:sz val="12"/>
      <x:color rgb="FFFFFFFF"/>
      <x:name val="Microsoft JhengHei"/>
    </x:font>
    <x:font>
      <x:b/>
      <x:sz val="11"/>
      <x:name val="Carlito"/>
    </x:font>
    <x:font>
      <x:b/>
      <x:sz val="18"/>
      <x:name val="Carlito"/>
    </x:font>
    <x:font>
      <x:b/>
      <x:sz val="18"/>
      <x:color rgb="FF2E5A36"/>
      <x:name val="Carlito"/>
    </x:font>
    <x:font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E5A3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200" fontId="2" fillId="0" borderId="0" xfId="0" applyNumberFormat="1" applyFont="1" applyFill="1" applyBorder="1" applyAlignment="1">
      <x:alignment vertical="center" wrapText="1"/>
    </x:xf>
    <x:xf numFmtId="201" fontId="2" fillId="0" borderId="0" xfId="0" applyNumberFormat="1" applyFont="1" applyFill="1" applyBorder="1" applyAlignment="1">
      <x:alignment vertical="center" wrapText="1"/>
    </x:xf>
    <x:xf numFmtId="202" fontId="2" fillId="0" borderId="0" xfId="0" applyNumberFormat="1" applyFont="1" applyFill="1" applyBorder="1" applyAlignment="1">
      <x:alignment vertical="center" wrapText="1"/>
    </x:xf>
    <x:xf numFmtId="203" fontId="2" fillId="0" borderId="0" xfId="0" applyNumberFormat="1" applyFont="1" applyFill="1" applyBorder="1" applyAlignment="1">
      <x:alignment vertical="center" wrapText="1"/>
    </x:xf>
    <x:xf numFmtId="204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0" fillId="2" borderId="0" xfId="0" applyNumberFormat="1" applyFont="1" applyFill="1" applyBorder="1"/>
    <x:xf numFmtId="0" fontId="10" fillId="2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4c075a81424168" /><Relationship Type="http://schemas.openxmlformats.org/officeDocument/2006/relationships/theme" Target="/xl/theme/theme1.xml" Id="Rd29602c461d94881" /><Relationship Type="http://schemas.openxmlformats.org/officeDocument/2006/relationships/sharedStrings" Target="/xl/sharedStrings.xml" Id="R7bd48dab79654aba" /><Relationship Type="http://schemas.openxmlformats.org/officeDocument/2006/relationships/worksheet" Target="/xl/worksheets/sheet1.xml" Id="Rcc43e02213ea42fb" /><Relationship Type="http://schemas.openxmlformats.org/officeDocument/2006/relationships/worksheet" Target="/xl/worksheets/sheet2.xml" Id="R1ba3d54846b44ef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12" t="str">
        <x:v>課後咖啡｜虛構教學模擬，不是真實店家或成效</x:v>
      </x:c>
      <x:c r="B1" s="12"/>
      <x:c r="C1" s="12"/>
      <x:c r="D1" s="12"/>
      <x:c r="E1" s="12"/>
      <x:c r="F1" s="12"/>
      <x:c r="G1" s="12"/>
      <x:c r="H1" s="12"/>
      <x:c r="I1" s="12"/>
      <x:c r="J1" s="12"/>
      <x:c r="K1" s="12"/>
    </x:row>
    <x:row r="2" ht="28" customHeight="1">
      <x:c r="A2" s="4" t="str">
        <x:v>講者參考表含計算答案，不作示範一初始輸入。版本 FANYA-COFFEE-20261029-v1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3" ht="2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</x:row>
    <x:row r="4" ht="60" customHeight="1">
      <x:c r="A4" s="14" t="str">
        <x:v>活動</x:v>
      </x:c>
      <x:c r="B4" s="14" t="str">
        <x:v>開始日期</x:v>
      </x:c>
      <x:c r="C4" s="14" t="str">
        <x:v>結束日期</x:v>
      </x:c>
      <x:c r="D4" s="14" t="str">
        <x:v>固定支出元</x:v>
      </x:c>
      <x:c r="E4" s="14" t="str">
        <x:v>平台觸及</x:v>
      </x:c>
      <x:c r="F4" s="14" t="str">
        <x:v>領券帳號</x:v>
      </x:c>
      <x:c r="G4" s="14" t="str">
        <x:v>核銷訂單</x:v>
      </x:c>
      <x:c r="H4" s="14" t="str">
        <x:v>首次核銷實收元</x:v>
      </x:c>
      <x:c r="I4" s="14" t="str">
        <x:v>商品變動成本元</x:v>
      </x:c>
      <x:c r="J4" s="14" t="str">
        <x:v>首次付款新會員</x:v>
      </x:c>
      <x:c r="K4" s="14" t="str">
        <x:v>30天內再次付費新會員</x:v>
      </x:c>
    </x:row>
    <x:row r="5" ht="28" customHeight="1">
      <x:c r="A5" s="4" t="str">
        <x:v>A 到店抽獎券</x:v>
      </x:c>
      <x:c r="B5" s="5" t="d">
        <x:v>2026-05-04T00:00:00.000Z</x:v>
      </x:c>
      <x:c r="C5" s="5" t="d">
        <x:v>2026-05-15T00:00:00.000Z</x:v>
      </x:c>
      <x:c r="D5" s="6" t="n">
        <x:v>6000</x:v>
      </x:c>
      <x:c r="E5" s="6" t="n">
        <x:v>24000</x:v>
      </x:c>
      <x:c r="F5" s="6" t="n">
        <x:v>600</x:v>
      </x:c>
      <x:c r="G5" s="6" t="n">
        <x:v>30</x:v>
      </x:c>
      <x:c r="H5" s="6" t="n">
        <x:v>2700</x:v>
      </x:c>
      <x:c r="I5" s="6" t="n">
        <x:v>900</x:v>
      </x:c>
      <x:c r="J5" s="6" t="n">
        <x:v>24</x:v>
      </x:c>
      <x:c r="K5" s="6" t="n">
        <x:v>3</x:v>
      </x:c>
    </x:row>
    <x:row r="6" ht="28" customHeight="1">
      <x:c r="A6" s="4" t="str">
        <x:v>B 單杯折價券</x:v>
      </x:c>
      <x:c r="B6" s="5" t="d">
        <x:v>2026-06-01T00:00:00.000Z</x:v>
      </x:c>
      <x:c r="C6" s="5" t="d">
        <x:v>2026-06-12T00:00:00.000Z</x:v>
      </x:c>
      <x:c r="D6" s="6" t="n">
        <x:v>4000</x:v>
      </x:c>
      <x:c r="E6" s="6" t="n">
        <x:v>8000</x:v>
      </x:c>
      <x:c r="F6" s="6" t="n">
        <x:v>240</x:v>
      </x:c>
      <x:c r="G6" s="6" t="n">
        <x:v>96</x:v>
      </x:c>
      <x:c r="H6" s="6" t="n">
        <x:v>7200</x:v>
      </x:c>
      <x:c r="I6" s="6" t="n">
        <x:v>2880</x:v>
      </x:c>
      <x:c r="J6" s="6" t="n">
        <x:v>72</x:v>
      </x:c>
      <x:c r="K6" s="6" t="n">
        <x:v>9</x:v>
      </x:c>
    </x:row>
    <x:row r="7" ht="28" customHeight="1">
      <x:c r="A7" s="4" t="str">
        <x:v>C 雙人分享券</x:v>
      </x:c>
      <x:c r="B7" s="5" t="d">
        <x:v>2026-09-07T00:00:00.000Z</x:v>
      </x:c>
      <x:c r="C7" s="5" t="d">
        <x:v>2026-09-18T00:00:00.000Z</x:v>
      </x:c>
      <x:c r="D7" s="6" t="n">
        <x:v>5000</x:v>
      </x:c>
      <x:c r="E7" s="6" t="n">
        <x:v>6000</x:v>
      </x:c>
      <x:c r="F7" s="6" t="n">
        <x:v>180</x:v>
      </x:c>
      <x:c r="G7" s="6" t="n">
        <x:v>90</x:v>
      </x:c>
      <x:c r="H7" s="6" t="n">
        <x:v>16200</x:v>
      </x:c>
      <x:c r="I7" s="6" t="n">
        <x:v>7200</x:v>
      </x:c>
      <x:c r="J7" s="6" t="n">
        <x:v>60</x:v>
      </x:c>
      <x:c r="K7" s="6" t="n">
        <x:v>18</x:v>
      </x:c>
    </x:row>
    <x:row r="8" ht="28" customHeight="1">
      <x:c r="A8" s="4"/>
      <x:c r="B8" s="4"/>
      <x:c r="C8" s="4"/>
      <x:c r="D8" s="4"/>
      <x:c r="E8" s="4"/>
      <x:c r="F8" s="4"/>
      <x:c r="G8" s="4"/>
      <x:c r="H8" s="4"/>
      <x:c r="I8" s="4"/>
      <x:c r="J8" s="4"/>
      <x:c r="K8" s="4"/>
    </x:row>
    <x:row r="9" ht="28" customHeight="1">
      <x:c r="A9" s="4"/>
      <x:c r="B9" s="4"/>
      <x:c r="C9" s="4"/>
      <x:c r="D9" s="4"/>
      <x:c r="E9" s="4"/>
      <x:c r="F9" s="4"/>
      <x:c r="G9" s="4"/>
      <x:c r="H9" s="4"/>
      <x:c r="I9" s="4"/>
      <x:c r="J9" s="4"/>
      <x:c r="K9" s="4"/>
    </x:row>
    <x:row r="10" ht="28" customHeight="1">
      <x:c r="A10" s="4" t="str">
        <x:v>活動</x:v>
      </x:c>
      <x:c r="B10" s="4" t="str">
        <x:v>核銷率</x:v>
      </x:c>
      <x:c r="C10" s="4" t="str">
        <x:v>固定支出／新客</x:v>
      </x:c>
      <x:c r="D10" s="4" t="str">
        <x:v>30天新客回購率</x:v>
      </x:c>
      <x:c r="E10" s="4" t="str">
        <x:v>首次訂單貢獻</x:v>
      </x:c>
      <x:c r="F10" s="4" t="str">
        <x:v>再扣活動固定費</x:v>
      </x:c>
      <x:c r="G10" s="4"/>
      <x:c r="H10" s="4"/>
      <x:c r="I10" s="4"/>
      <x:c r="J10" s="4"/>
      <x:c r="K10" s="4"/>
    </x:row>
    <x:row r="11" ht="28" customHeight="1">
      <x:c r="A11" s="4" t="str">
        <x:f>A5</x:f>
        <x:v>A 到店抽獎券</x:v>
      </x:c>
      <x:c r="B11" s="7" t="n">
        <x:f>G5/F5</x:f>
        <x:v>0.05</x:v>
      </x:c>
      <x:c r="C11" s="8" t="n">
        <x:f>D5/J5</x:f>
        <x:v>250</x:v>
      </x:c>
      <x:c r="D11" s="7" t="n">
        <x:f>K5/J5</x:f>
        <x:v>0.125</x:v>
      </x:c>
      <x:c r="E11" s="6" t="n">
        <x:f>H5-I5</x:f>
        <x:v>1800</x:v>
      </x:c>
      <x:c r="F11" s="6" t="n">
        <x:f>E11-D5</x:f>
        <x:v>-4200</x:v>
      </x:c>
      <x:c r="G11" s="4"/>
      <x:c r="H11" s="4"/>
      <x:c r="I11" s="4"/>
      <x:c r="J11" s="4"/>
      <x:c r="K11" s="4"/>
    </x:row>
    <x:row r="12" ht="28" customHeight="1">
      <x:c r="A12" s="4" t="str">
        <x:f>A6</x:f>
        <x:v>B 單杯折價券</x:v>
      </x:c>
      <x:c r="B12" s="7" t="n">
        <x:f>G6/F6</x:f>
        <x:v>0.4</x:v>
      </x:c>
      <x:c r="C12" s="8" t="n">
        <x:f>D6/J6</x:f>
        <x:v>55.55555555555556</x:v>
      </x:c>
      <x:c r="D12" s="7" t="n">
        <x:f>K6/J6</x:f>
        <x:v>0.125</x:v>
      </x:c>
      <x:c r="E12" s="6" t="n">
        <x:f>H6-I6</x:f>
        <x:v>4320</x:v>
      </x:c>
      <x:c r="F12" s="6" t="n">
        <x:f>E12-D6</x:f>
        <x:v>320</x:v>
      </x:c>
      <x:c r="G12" s="4"/>
      <x:c r="H12" s="4"/>
      <x:c r="I12" s="4"/>
      <x:c r="J12" s="4"/>
      <x:c r="K12" s="4"/>
    </x:row>
    <x:row r="13" ht="28" customHeight="1">
      <x:c r="A13" s="4" t="str">
        <x:f>A7</x:f>
        <x:v>C 雙人分享券</x:v>
      </x:c>
      <x:c r="B13" s="7" t="n">
        <x:f>G7/F7</x:f>
        <x:v>0.5</x:v>
      </x:c>
      <x:c r="C13" s="8" t="n">
        <x:f>D7/J7</x:f>
        <x:v>83.33333333333333</x:v>
      </x:c>
      <x:c r="D13" s="7" t="n">
        <x:f>K7/J7</x:f>
        <x:v>0.3</x:v>
      </x:c>
      <x:c r="E13" s="6" t="n">
        <x:f>H7-I7</x:f>
        <x:v>9000</x:v>
      </x:c>
      <x:c r="F13" s="6" t="n">
        <x:f>E13-D7</x:f>
        <x:v>4000</x:v>
      </x:c>
      <x:c r="G13" s="4"/>
      <x:c r="H13" s="4"/>
      <x:c r="I13" s="4"/>
      <x:c r="J13" s="4"/>
      <x:c r="K13" s="4"/>
    </x:row>
    <x:row r="14" ht="28" customHeight="1">
      <x:c r="A14" s="4"/>
      <x:c r="B14" s="4"/>
      <x:c r="C14" s="4"/>
      <x:c r="D14" s="4"/>
      <x:c r="E14" s="4"/>
      <x:c r="F14" s="4"/>
      <x:c r="G14" s="4"/>
      <x:c r="H14" s="4"/>
      <x:c r="I14" s="4"/>
      <x:c r="J14" s="4"/>
      <x:c r="K14" s="4"/>
    </x:row>
    <x:row r="15" ht="28" customHeight="1">
      <x:c r="A15" s="4"/>
      <x:c r="B15" s="4"/>
      <x:c r="C15" s="4"/>
      <x:c r="D15" s="4"/>
      <x:c r="E15" s="4"/>
      <x:c r="F15" s="4"/>
      <x:c r="G15" s="4"/>
      <x:c r="H15" s="4"/>
      <x:c r="I15" s="4"/>
      <x:c r="J15" s="4"/>
      <x:c r="K15" s="4"/>
    </x:row>
    <x:row r="16" ht="28" customHeight="1">
      <x:c r="A16" s="4" t="str">
        <x:v>來源：父任務提供的唯一虛構案例；完整定義見01_初始品牌資料.md、歷史活動.csv。</x:v>
      </x:c>
      <x:c r="B16" s="4"/>
      <x:c r="C16" s="4"/>
      <x:c r="D16" s="4"/>
      <x:c r="E16" s="4"/>
      <x:c r="F16" s="4"/>
      <x:c r="G16" s="4"/>
      <x:c r="H16" s="4"/>
      <x:c r="I16" s="4"/>
      <x:c r="J16" s="4"/>
      <x:c r="K16" s="4"/>
    </x:row>
    <x:row r="17" ht="28" customHeight="1">
      <x:c r="A17" s="4" t="str">
        <x:v>每活動10個平日下午；A每杯90元、B每杯75元、C每套餐180元。</x:v>
      </x:c>
      <x:c r="B17" s="4"/>
      <x:c r="C17" s="4"/>
      <x:c r="D17" s="4"/>
      <x:c r="E17" s="4"/>
      <x:c r="F17" s="4"/>
      <x:c r="G17" s="4"/>
      <x:c r="H17" s="4"/>
      <x:c r="I17" s="4"/>
      <x:c r="J17" s="4"/>
      <x:c r="K17" s="4"/>
    </x:row>
    <x:row r="18" ht="28" customHeight="1">
      <x:c r="A18" s="4" t="str">
        <x:v>一券一次、一核銷一付款訂單。雙人套餐不等於兩位新客，只計付款會員。</x:v>
      </x:c>
      <x:c r="B18" s="4"/>
      <x:c r="C18" s="4"/>
      <x:c r="D18" s="4"/>
      <x:c r="E18" s="4"/>
      <x:c r="F18" s="4"/>
      <x:c r="G18" s="4"/>
      <x:c r="H18" s="4"/>
      <x:c r="I18" s="4"/>
      <x:c r="J18" s="4"/>
      <x:c r="K18" s="4"/>
    </x:row>
    <x:row r="19" ht="28" customHeight="1">
      <x:c r="A19" s="4" t="str">
        <x:v>新客為完整會員紀錄首次付費；回購每人一次；歷史觀察均滿30天。</x:v>
      </x:c>
      <x:c r="B19" s="4"/>
      <x:c r="C19" s="4"/>
      <x:c r="D19" s="4"/>
      <x:c r="E19" s="4"/>
      <x:c r="F19" s="4"/>
      <x:c r="G19" s="4"/>
      <x:c r="H19" s="4"/>
      <x:c r="I19" s="4"/>
      <x:c r="J19" s="4"/>
      <x:c r="K19" s="4"/>
    </x:row>
    <x:row r="20" ht="28" customHeight="1">
      <x:c r="A20" s="4" t="str">
        <x:v>實收成本只含首次核銷，不含回購。觸及不跨活動加總。</x:v>
      </x:c>
      <x:c r="B20" s="4"/>
      <x:c r="C20" s="4"/>
      <x:c r="D20" s="4"/>
      <x:c r="E20" s="4"/>
      <x:c r="F20" s="4"/>
      <x:c r="G20" s="4"/>
      <x:c r="H20" s="4"/>
      <x:c r="I20" s="4"/>
      <x:c r="J20" s="4"/>
      <x:c r="K20" s="4"/>
    </x:row>
    <x:row r="21" ht="28" customHeight="1">
      <x:c r="A21" s="4" t="str">
        <x:v>不同月份、渠道、客群，不推因果，不直接預測。固定支出/新客不是增量CAC。</x:v>
      </x:c>
      <x:c r="B21" s="4"/>
      <x:c r="C21" s="4"/>
      <x:c r="D21" s="4"/>
      <x:c r="E21" s="4"/>
      <x:c r="F21" s="4"/>
      <x:c r="G21" s="4"/>
      <x:c r="H21" s="4"/>
      <x:c r="I21" s="4"/>
      <x:c r="J21" s="4"/>
      <x:c r="K21" s="4"/>
    </x:row>
    <x:row r="22" ht="28" customHeight="1">
      <x:c r="A22" s="4" t="str">
        <x:v>貢獻及扣活動固定費後餘額都不是淨利，未扣固定薪資、租金、稅等。</x:v>
      </x:c>
      <x:c r="B22" s="4"/>
      <x:c r="C22" s="4"/>
      <x:c r="D22" s="4"/>
      <x:c r="E22" s="4"/>
      <x:c r="F22" s="4"/>
      <x:c r="G22" s="4"/>
      <x:c r="H22" s="4"/>
      <x:c r="I22" s="4"/>
      <x:c r="J22" s="4"/>
      <x:c r="K22" s="4"/>
    </x:row>
    <x:row r="23" ht="28" customHeight="1">
      <x:c r="A23" s="4"/>
      <x:c r="B23" s="4"/>
      <x:c r="C23" s="4"/>
      <x:c r="D23" s="4"/>
      <x:c r="E23" s="4"/>
      <x:c r="F23" s="4"/>
      <x:c r="G23" s="4"/>
      <x:c r="H23" s="4"/>
      <x:c r="I23" s="4"/>
      <x:c r="J23" s="4"/>
      <x:c r="K23" s="4"/>
    </x:row>
  </x:sheetData>
  <x:mergeCells>
    <x:mergeCell ref="A1:K1"/>
    <x:mergeCell ref="A2:K2"/>
    <x:mergeCell ref="A16:K16"/>
    <x:mergeCell ref="A17:K17"/>
    <x:mergeCell ref="A18:K18"/>
    <x:mergeCell ref="A19:K19"/>
    <x:mergeCell ref="A20:K20"/>
    <x:mergeCell ref="A21:K21"/>
    <x:mergeCell ref="A22:K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48" hidden="0" customWidth="1"/>
    <x:col min="4" max="4" width="18" hidden="0" customWidth="1"/>
  </x:cols>
  <x:sheetData>
    <x:row r="1" ht="28" customHeight="1">
      <x:c r="A1" s="12" t="str">
        <x:v>試行方案｜虛構教學模擬，不是真實店家或成效</x:v>
      </x:c>
      <x:c r="B1" s="12"/>
      <x:c r="C1" s="12"/>
      <x:c r="D1" s="12"/>
      <x:c r="E1" s="17"/>
      <x:c r="F1" s="17"/>
      <x:c r="G1" s="17"/>
      <x:c r="H1" s="17"/>
      <x:c r="I1" s="17"/>
      <x:c r="J1" s="17"/>
      <x:c r="K1" s="17"/>
    </x:row>
    <x:row r="2" ht="28" customHeight="1">
      <x:c r="A2" s="4" t="str">
        <x:v>提案／目標／假設，尚未核准、投放或成交。不是預測。</x:v>
      </x:c>
      <x:c r="B2" s="4"/>
      <x:c r="C2" s="4"/>
      <x:c r="D2" s="4"/>
    </x:row>
    <x:row r="3" ht="28" customHeight="1">
      <x:c r="A3" s="4"/>
      <x:c r="B3" s="4"/>
      <x:c r="C3" s="4"/>
      <x:c r="D3" s="4"/>
    </x:row>
    <x:row r="4" ht="28" customHeight="1">
      <x:c r="A4" s="14" t="str">
        <x:v>輸入或計算</x:v>
      </x:c>
      <x:c r="B4" s="14" t="str">
        <x:v>數值</x:v>
      </x:c>
      <x:c r="C4" s="14" t="str">
        <x:v>口徑</x:v>
      </x:c>
      <x:c r="D4" s="14"/>
      <x:c r="E4" s="19"/>
      <x:c r="F4" s="19"/>
      <x:c r="G4" s="19"/>
      <x:c r="H4" s="19"/>
      <x:c r="I4" s="19"/>
      <x:c r="J4" s="19"/>
      <x:c r="K4" s="19"/>
    </x:row>
    <x:row r="5" ht="28" customHeight="1">
      <x:c r="A5" s="4" t="str">
        <x:v>活動固定預算上限</x:v>
      </x:c>
      <x:c r="B5" s="9" t="n">
        <x:v>6000</x:v>
      </x:c>
      <x:c r="C5" s="4" t="str">
        <x:v>商品變動成本另列</x:v>
      </x:c>
      <x:c r="D5" s="4"/>
    </x:row>
    <x:row r="6" ht="28" customHeight="1">
      <x:c r="A6" s="4" t="str">
        <x:v>廣告提案</x:v>
      </x:c>
      <x:c r="B6" s="9" t="n">
        <x:v>3000</x:v>
      </x:c>
      <x:c r="C6" s="4" t="str">
        <x:v>待店主核准</x:v>
      </x:c>
      <x:c r="D6" s="4"/>
    </x:row>
    <x:row r="7" ht="28" customHeight="1">
      <x:c r="A7" s="4" t="str">
        <x:v>素材提案</x:v>
      </x:c>
      <x:c r="B7" s="9" t="n">
        <x:v>1000</x:v>
      </x:c>
      <x:c r="C7" s="4" t="str">
        <x:v>待店主核准</x:v>
      </x:c>
      <x:c r="D7" s="4"/>
    </x:row>
    <x:row r="8" ht="28" customHeight="1">
      <x:c r="A8" s="4" t="str">
        <x:v>告示提案</x:v>
      </x:c>
      <x:c r="B8" s="9" t="n">
        <x:v>500</x:v>
      </x:c>
      <x:c r="C8" s="4" t="str">
        <x:v>待店主核准</x:v>
      </x:c>
      <x:c r="D8" s="4"/>
    </x:row>
    <x:row r="9" ht="28" customHeight="1">
      <x:c r="A9" s="4" t="str">
        <x:v>活動固定費提案</x:v>
      </x:c>
      <x:c r="B9" s="9" t="n">
        <x:f>SUM(B6:B8)</x:f>
        <x:v>4500</x:v>
      </x:c>
      <x:c r="C9" s="4" t="str">
        <x:v>不是已實際支出</x:v>
      </x:c>
      <x:c r="D9" s="4"/>
    </x:row>
    <x:row r="10" ht="28" customHeight="1">
      <x:c r="A10" s="4" t="str">
        <x:v>保留額</x:v>
      </x:c>
      <x:c r="B10" s="9" t="n">
        <x:f>B5-B9</x:f>
        <x:v>1500</x:v>
      </x:c>
      <x:c r="C10" s="4" t="str">
        <x:v>不是已花費</x:v>
      </x:c>
      <x:c r="D10" s="4"/>
    </x:row>
    <x:row r="11" ht="28" customHeight="1">
      <x:c r="A11" s="4" t="str">
        <x:v>試行核銷目標</x:v>
      </x:c>
      <x:c r="B11" s="9" t="n">
        <x:v>80</x:v>
      </x:c>
      <x:c r="C11" s="4" t="str">
        <x:v>非預測</x:v>
      </x:c>
      <x:c r="D11" s="4"/>
    </x:row>
    <x:row r="12" ht="28" customHeight="1">
      <x:c r="A12" s="4" t="str">
        <x:v>每筆套餐實收</x:v>
      </x:c>
      <x:c r="B12" s="9" t="n">
        <x:v>180</x:v>
      </x:c>
      <x:c r="C12" s="4" t="str">
        <x:v>兩杯指定飲品＋餅乾</x:v>
      </x:c>
      <x:c r="D12" s="4"/>
    </x:row>
    <x:row r="13" ht="28" customHeight="1">
      <x:c r="A13" s="4" t="str">
        <x:v>每筆變動成本</x:v>
      </x:c>
      <x:c r="B13" s="9" t="n">
        <x:v>80</x:v>
      </x:c>
      <x:c r="C13" s="4" t="str">
        <x:v>30×2＋20</x:v>
      </x:c>
      <x:c r="D13" s="4"/>
    </x:row>
    <x:row r="14" ht="28" customHeight="1">
      <x:c r="A14" s="4" t="str">
        <x:v>每筆貢獻</x:v>
      </x:c>
      <x:c r="B14" s="9" t="n">
        <x:f>B12-B13</x:f>
        <x:v>100</x:v>
      </x:c>
      <x:c r="C14" s="4" t="str">
        <x:v>未扣固定費</x:v>
      </x:c>
      <x:c r="D14" s="4"/>
    </x:row>
    <x:row r="15" ht="28" customHeight="1">
      <x:c r="A15" s="4" t="str">
        <x:v>情境實收</x:v>
      </x:c>
      <x:c r="B15" s="9" t="n">
        <x:f>B11*B12</x:f>
        <x:v>14400</x:v>
      </x:c>
      <x:c r="C15" s="4" t="str">
        <x:v>只含首次核銷</x:v>
      </x:c>
      <x:c r="D15" s="4"/>
    </x:row>
    <x:row r="16" ht="28" customHeight="1">
      <x:c r="A16" s="4" t="str">
        <x:v>情境變動成本</x:v>
      </x:c>
      <x:c r="B16" s="9" t="n">
        <x:f>B11*B13</x:f>
        <x:v>6400</x:v>
      </x:c>
      <x:c r="C16" s="4" t="str">
        <x:v>不含固定薪資租金等</x:v>
      </x:c>
      <x:c r="D16" s="4"/>
    </x:row>
    <x:row r="17" ht="28" customHeight="1">
      <x:c r="A17" s="4" t="str">
        <x:v>情境貢獻</x:v>
      </x:c>
      <x:c r="B17" s="9" t="n">
        <x:f>B15-B16</x:f>
        <x:v>8000</x:v>
      </x:c>
      <x:c r="C17" s="4" t="str">
        <x:v>不是淨利</x:v>
      </x:c>
      <x:c r="D17" s="4"/>
    </x:row>
    <x:row r="18" ht="28" customHeight="1">
      <x:c r="A18" s="4" t="str">
        <x:v>再扣活動固定費</x:v>
      </x:c>
      <x:c r="B18" s="9" t="n">
        <x:f>B17-B9</x:f>
        <x:v>3500</x:v>
      </x:c>
      <x:c r="C18" s="4" t="str">
        <x:v>不是淨利、預測或增量證明</x:v>
      </x:c>
      <x:c r="D18" s="4"/>
    </x:row>
    <x:row r="19" ht="28" customHeight="1">
      <x:c r="A19" s="4" t="str">
        <x:v>涵蓋提案固定費筆數</x:v>
      </x:c>
      <x:c r="B19" s="9" t="n">
        <x:f>B9/B14</x:f>
        <x:v>45</x:v>
      </x:c>
      <x:c r="C19" s="4" t="str">
        <x:v>不是全店損益兩平</x:v>
      </x:c>
      <x:c r="D19" s="4"/>
    </x:row>
    <x:row r="20" ht="28" customHeight="1">
      <x:c r="A20" s="4" t="str">
        <x:v>花滿上限需涵蓋筆數</x:v>
      </x:c>
      <x:c r="B20" s="9" t="n">
        <x:f>B5/B14</x:f>
        <x:v>60</x:v>
      </x:c>
      <x:c r="C20" s="4" t="str">
        <x:v>不是全店損益兩平</x:v>
      </x:c>
      <x:c r="D20" s="4"/>
    </x:row>
    <x:row r="21" ht="28" customHeight="1">
      <x:c r="A21" s="4" t="str">
        <x:v>實際每日額外上限</x:v>
      </x:c>
      <x:c r="B21" s="9" t="n">
        <x:v>12</x:v>
      </x:c>
      <x:c r="C21" s="4" t="str">
        <x:v>第二輪店長補充</x:v>
      </x:c>
      <x:c r="D21" s="4"/>
    </x:row>
    <x:row r="22" ht="28" customHeight="1">
      <x:c r="A22" s="4" t="str">
        <x:v>每日規劃名額</x:v>
      </x:c>
      <x:c r="B22" s="9" t="n">
        <x:v>10</x:v>
      </x:c>
      <x:c r="C22" s="4" t="str">
        <x:v>留2筆緩衝</x:v>
      </x:c>
      <x:c r="D22" s="4"/>
    </x:row>
    <x:row r="23" ht="28" customHeight="1">
      <x:c r="A23" s="4" t="str">
        <x:v>活動日數</x:v>
      </x:c>
      <x:c r="B23" s="9" t="n">
        <x:v>10</x:v>
      </x:c>
      <x:c r="C23" s="4" t="str">
        <x:v>11/2–11/13平日14–17點</x:v>
      </x:c>
      <x:c r="D23" s="4"/>
    </x:row>
    <x:row r="24" ht="28" customHeight="1">
      <x:c r="A24" s="4" t="str">
        <x:v>全期名額上限</x:v>
      </x:c>
      <x:c r="B24" s="9" t="n">
        <x:f>B22*B23</x:f>
        <x:v>100</x:v>
      </x:c>
      <x:c r="C24" s="4" t="str">
        <x:v>不代表需求或新客數</x:v>
      </x:c>
      <x:c r="D24" s="4"/>
    </x:row>
    <x:row r="25" ht="28" customHeight="1">
      <x:c r="A25" s="4" t="str">
        <x:v>試行新客目標</x:v>
      </x:c>
      <x:c r="B25" s="9" t="n">
        <x:v>60</x:v>
      </x:c>
      <x:c r="C25" s="4" t="str">
        <x:v>75%新客占比是規劃假設</x:v>
      </x:c>
      <x:c r="D25" s="4"/>
    </x:row>
    <x:row r="26" ht="28" customHeight="1">
      <x:c r="A26" s="4" t="str">
        <x:v>新客占核銷比例</x:v>
      </x:c>
      <x:c r="B26" s="7" t="n">
        <x:f>B25/B11</x:f>
        <x:v>0.75</x:v>
      </x:c>
      <x:c r="C26" s="4" t="str">
        <x:v>非歷史必然</x:v>
      </x:c>
      <x:c r="D26" s="4"/>
    </x:row>
    <x:row r="27" ht="28" customHeight="1">
      <x:c r="A27" s="4" t="str">
        <x:v>30天再次付費目標</x:v>
      </x:c>
      <x:c r="B27" s="9" t="n">
        <x:v>18</x:v>
      </x:c>
      <x:c r="C27" s="4" t="str">
        <x:v>最後觀察到12/13</x:v>
      </x:c>
      <x:c r="D27" s="4"/>
    </x:row>
    <x:row r="28" ht="28" customHeight="1">
      <x:c r="A28" s="4" t="str">
        <x:v>目標回購率</x:v>
      </x:c>
      <x:c r="B28" s="7" t="n">
        <x:f>B27/B25</x:f>
        <x:v>0.3</x:v>
      </x:c>
      <x:c r="C28" s="4" t="str">
        <x:v>非保證</x:v>
      </x:c>
      <x:c r="D28" s="4"/>
    </x:row>
    <x:row r="29" ht="28" customHeight="1">
      <x:c r="A29" s="4"/>
      <x:c r="B29" s="4"/>
      <x:c r="C29" s="4"/>
      <x:c r="D29" s="4"/>
    </x:row>
  </x:sheetData>
  <x:mergeCells>
    <x:mergeCell ref="A1:D1"/>
    <x:mergeCell ref="A2:D2"/>
  </x:mergeCells>
  <x:pageMargins left="0.7" right="0.7" top="0.75" bottom="0.75" header="0.3" footer="0.3"/>
</x:worksheet>
</file>