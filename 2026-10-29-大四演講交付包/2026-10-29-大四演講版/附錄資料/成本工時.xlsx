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8fb63a8b8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F-2048 成本" sheetId="1" r:id="Re74875f1a1b74961"/>
    <x:sheet xmlns:r="http://schemas.openxmlformats.org/officeDocument/2006/relationships" name="加班費率" sheetId="2" r:id="R619c2535a11c4612"/>
    <x:sheet xmlns:r="http://schemas.openxmlformats.org/officeDocument/2006/relationships" name="9月人力" sheetId="3" r:id="R982a96d2a663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%"/>
    <x:numFmt numFmtId="202" formatCode="0.00%"/>
    <x:numFmt numFmtId="203" formatCode="#,##0.00"/>
    <x:numFmt numFmtId="204" formatCode="0.000"/>
  </x:numFmts>
  <x:fonts count="5">
    <x:font>
      <x:sz val="11"/>
      <x:color theme="1"/>
      <x:name val="Calibri"/>
    </x:font>
    <x:font>
      <x:b/>
      <x:color rgb="FFFFFFFF"/>
    </x:font>
    <x:font>
      <x:b/>
      <x:sz val="11"/>
      <x:color rgb="FF223128"/>
      <x:name val="Microsoft JhengHei"/>
    </x:font>
    <x:font>
      <x:sz val="11"/>
      <x:color rgb="FF223128"/>
      <x:name val="Microsoft JhengHei"/>
    </x:font>
    <x:font>
      <x:b/>
      <x:sz val="11"/>
      <x:color rgb="FFFFFFFF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2E5A36"/>
      </x:patternFill>
    </x:fill>
    <x:fill>
      <x:patternFill patternType="solid">
        <x:fgColor rgb="FF2E5A36"/>
      </x:patternFill>
    </x:fill>
    <x:fill>
      <x:patternFill patternType="solid">
        <x:fgColor rgb="FF2E5A36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4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8c53d5b3f4d44" /><Relationship Type="http://schemas.openxmlformats.org/officeDocument/2006/relationships/theme" Target="/xl/theme/theme1.xml" Id="Rfa08f1b8ca444034" /><Relationship Type="http://schemas.openxmlformats.org/officeDocument/2006/relationships/sharedStrings" Target="/xl/sharedStrings.xml" Id="R67d6334dd2814e62" /><Relationship Type="http://schemas.openxmlformats.org/officeDocument/2006/relationships/worksheet" Target="/xl/worksheets/sheet1.xml" Id="Re74875f1a1b74961" /><Relationship Type="http://schemas.openxmlformats.org/officeDocument/2006/relationships/worksheet" Target="/xl/worksheets/sheet2.xml" Id="R619c2535a11c4612" /><Relationship Type="http://schemas.openxmlformats.org/officeDocument/2006/relationships/worksheet" Target="/xl/worksheets/sheet3.xml" Id="R982a96d2a66345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1" hidden="0" customWidth="1"/>
    <x:col min="2" max="2" width="24" hidden="0" customWidth="1"/>
    <x:col min="3" max="3" width="92" hidden="0" customWidth="1"/>
  </x:cols>
  <x:sheetData>
    <x:row r="1" ht="38" customHeight="1">
      <x:c r="A1" s="17" t="str">
        <x:v>項目</x:v>
      </x:c>
      <x:c r="B1" s="17" t="str">
        <x:v>數值</x:v>
      </x:c>
      <x:c r="C1" s="17" t="str">
        <x:v>口徑</x:v>
      </x:c>
    </x:row>
    <x:row r="2" ht="30" customHeight="1">
      <x:c r="A2" s="7" t="str">
        <x:v>合約售價</x:v>
      </x:c>
      <x:c r="B2" s="10" t="n">
        <x:v>85</x:v>
      </x:c>
      <x:c r="C2" s="7" t="str">
        <x:v>元/件，未稅</x:v>
      </x:c>
    </x:row>
    <x:row r="3" ht="30" customHeight="1">
      <x:c r="A3" s="7" t="str">
        <x:v>材料</x:v>
      </x:c>
      <x:c r="B3" s="10" t="n">
        <x:f>B21*B22</x:f>
        <x:v>21.24</x:v>
      </x:c>
      <x:c r="C3" s="7" t="str">
        <x:v>0.18kg/件（已含損耗）×118元/kg；庫存BOM快照</x:v>
      </x:c>
    </x:row>
    <x:row r="4" ht="30" customHeight="1">
      <x:c r="A4" s="7" t="str">
        <x:v>CNC基礎加工</x:v>
      </x:c>
      <x:c r="B4" s="10" t="n">
        <x:v>28</x:v>
      </x:c>
      <x:c r="C4" s="7" t="str">
        <x:v>正常薪資、機時、刀具與固定成本分攤；不含本次加班增量</x:v>
      </x:c>
    </x:row>
    <x:row r="5" ht="30" customHeight="1">
      <x:c r="A5" s="7" t="str">
        <x:v>電鍍內製基準</x:v>
      </x:c>
      <x:c r="B5" s="10" t="n">
        <x:v>8</x:v>
      </x:c>
      <x:c r="C5" s="7" t="str">
        <x:v>比較用；急單採外包，不重複加計</x:v>
      </x:c>
    </x:row>
    <x:row r="6" ht="30" customHeight="1">
      <x:c r="A6" s="7" t="str">
        <x:v>電鍍外包永光</x:v>
      </x:c>
      <x:c r="B6" s="10" t="n">
        <x:v>12</x:v>
      </x:c>
      <x:c r="C6" s="7" t="str">
        <x:v>含藥劑、廠內品管；不含專車</x:v>
      </x:c>
    </x:row>
    <x:row r="7" ht="30" customHeight="1">
      <x:c r="A7" s="7" t="str">
        <x:v>檢驗包裝</x:v>
      </x:c>
      <x:c r="B7" s="10" t="n">
        <x:v>4</x:v>
      </x:c>
      <x:c r="C7" s="7" t="str">
        <x:v>正常班人工/包材/固定費，不含專車</x:v>
      </x:c>
    </x:row>
    <x:row r="8" ht="30" customHeight="1">
      <x:c r="A8" s="7" t="str">
        <x:v>正常毛利（比較）</x:v>
      </x:c>
      <x:c r="B8" s="10" t="n">
        <x:f>B2-B3-B4-B5-B7</x:f>
        <x:v>23.760000000000005</x:v>
      </x:c>
      <x:c r="C8" s="7" t="str">
        <x:v>內製、不加班、正常物流基準</x:v>
      </x:c>
    </x:row>
    <x:row r="9" ht="30" customHeight="1">
      <x:c r="A9" s="7" t="str">
        <x:v>加班每件增加</x:v>
      </x:c>
      <x:c r="B9" s="10" t="n">
        <x:f>'加班費率'!B8</x:f>
        <x:v>3.2</x:v>
      </x:c>
      <x:c r="C9" s="7" t="str">
        <x:v>30人時×320÷3000</x:v>
      </x:c>
    </x:row>
    <x:row r="10" ht="30" customHeight="1">
      <x:c r="A10" s="7" t="str">
        <x:v>專車每件增加</x:v>
      </x:c>
      <x:c r="B10" s="10" t="n">
        <x:f>'加班費率'!B10</x:f>
        <x:v>0.6</x:v>
      </x:c>
      <x:c r="C10" s="7" t="str">
        <x:v>3趟×600÷3000</x:v>
      </x:c>
    </x:row>
    <x:row r="11" ht="30" customHeight="1">
      <x:c r="A11" s="7" t="str">
        <x:v>急單總成本</x:v>
      </x:c>
      <x:c r="B11" s="10" t="n">
        <x:f>SUM(B3:B4)+B6+B7+SUM(B9:B10)+B20</x:f>
        <x:v>70.63999999999999</x:v>
      </x:c>
      <x:c r="C11" s="7" t="str">
        <x:v>採外包12元，排除內製8元</x:v>
      </x:c>
    </x:row>
    <x:row r="12" ht="30" customHeight="1">
      <x:c r="A12" s="7" t="str">
        <x:v>未加急費毛利</x:v>
      </x:c>
      <x:c r="B12" s="10" t="n">
        <x:f>B2-B11</x:f>
        <x:v>14.360000000000014</x:v>
      </x:c>
      <x:c r="C12" s="7" t="str">
        <x:v>85−70.64</x:v>
      </x:c>
    </x:row>
    <x:row r="13" ht="30" customHeight="1">
      <x:c r="A13" s="7" t="str">
        <x:v>加急費率</x:v>
      </x:c>
      <x:c r="B13" s="11" t="n">
        <x:f>'加班費率'!B11</x:f>
        <x:v>0.08</x:v>
      </x:c>
      <x:c r="C13" s="7" t="str">
        <x:v>方案8%，非既定產業標準</x:v>
      </x:c>
    </x:row>
    <x:row r="14" ht="30" customHeight="1">
      <x:c r="A14" s="7" t="str">
        <x:v>每件加急費</x:v>
      </x:c>
      <x:c r="B14" s="10" t="n">
        <x:f>B2*B13</x:f>
        <x:v>6.8</x:v>
      </x:c>
      <x:c r="C14" s="7" t="str">
        <x:v>6.80元</x:v>
      </x:c>
    </x:row>
    <x:row r="15" ht="30" customHeight="1">
      <x:c r="A15" s="7" t="str">
        <x:v>含加急售價</x:v>
      </x:c>
      <x:c r="B15" s="10" t="n">
        <x:f>B2+B14</x:f>
        <x:v>91.8</x:v>
      </x:c>
      <x:c r="C15" s="7" t="str">
        <x:v>91.80元</x:v>
      </x:c>
    </x:row>
    <x:row r="16" ht="30" customHeight="1">
      <x:c r="A16" s="7" t="str">
        <x:v>含加急毛利</x:v>
      </x:c>
      <x:c r="B16" s="10" t="n">
        <x:f>B15-B11</x:f>
        <x:v>21.16000000000001</x:v>
      </x:c>
      <x:c r="C16" s="7" t="str">
        <x:v>21.16元/件</x:v>
      </x:c>
    </x:row>
    <x:row r="17" ht="30" customHeight="1">
      <x:c r="A17" s="7" t="str">
        <x:v>含加急毛利率</x:v>
      </x:c>
      <x:c r="B17" s="12" t="n">
        <x:f>B16/B15</x:f>
        <x:v>0.23050108932461885</x:v>
      </x:c>
      <x:c r="C17" s="7" t="str">
        <x:v>毛利÷含加急售價</x:v>
      </x:c>
    </x:row>
    <x:row r="18" ht="30" customHeight="1">
      <x:c r="A18" s="7" t="str">
        <x:v>訂單總毛利</x:v>
      </x:c>
      <x:c r="B18" s="13" t="n">
        <x:f>B16*'加班費率'!B7</x:f>
        <x:v>63480.00000000003</x:v>
      </x:c>
      <x:c r="C18" s="7" t="str">
        <x:v>63,480元；不含稅與本案之外費用</x:v>
      </x:c>
    </x:row>
    <x:row r="19" ht="30" customHeight="1">
      <x:c r="A19" s="7" t="str">
        <x:v>版本</x:v>
      </x:c>
      <x:c r="B19" s="7" t="str">
        <x:v>FANYA20260912V2</x:v>
      </x:c>
      <x:c r="C19" s="7" t="str">
        <x:v>須在補料、外包、加班、週六運輸與客戶費率均確認後接單</x:v>
      </x:c>
    </x:row>
    <x:row r="20" ht="30" customHeight="1">
      <x:c r="A20" s="7" t="str">
        <x:v>假日品檢每件增加</x:v>
      </x:c>
      <x:c r="B20" s="10" t="n">
        <x:f>'加班費率'!B19</x:f>
        <x:v>1.6</x:v>
      </x:c>
      <x:c r="C20" s="7" t="str">
        <x:v>9/25專案值班3人×5小時×320元÷3000</x:v>
      </x:c>
    </x:row>
    <x:row r="21" ht="30" customHeight="1">
      <x:c r="A21" s="7" t="str">
        <x:v>BOM每件原料kg</x:v>
      </x:c>
      <x:c r="B21" s="18" t="n">
        <x:v>0.18</x:v>
      </x:c>
      <x:c r="C21" s="7" t="str">
        <x:v>V2庫存料件的用量標準快照；含損耗</x:v>
      </x:c>
    </x:row>
    <x:row r="22" ht="30" customHeight="1">
      <x:c r="A22" s="7" t="str">
        <x:v>原料單價元/kg</x:v>
      </x:c>
      <x:c r="B22" s="10" t="n">
        <x:v>118</x:v>
      </x:c>
      <x:c r="C22" s="7" t="str">
        <x:v>V2庫存料件的原物料庫存快照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1" hidden="0" customWidth="1"/>
    <x:col min="2" max="2" width="23" hidden="0" customWidth="1"/>
    <x:col min="3" max="3" width="90" hidden="0" customWidth="1"/>
  </x:cols>
  <x:sheetData>
    <x:row r="1" ht="38" customHeight="1">
      <x:c r="A1" s="17" t="str">
        <x:v>項目</x:v>
      </x:c>
      <x:c r="B1" s="17" t="str">
        <x:v>數值</x:v>
      </x:c>
      <x:c r="C1" s="17" t="str">
        <x:v>說明</x:v>
      </x:c>
    </x:row>
    <x:row r="2" ht="30" customHeight="1">
      <x:c r="A2" s="7" t="str">
        <x:v>CNC加班元/人時</x:v>
      </x:c>
      <x:c r="B2" s="7" t="n">
        <x:v>320</x:v>
      </x:c>
      <x:c r="C2" s="7" t="str">
        <x:v>虛構約定費率，含加給；非法律或行情建議</x:v>
      </x:c>
    </x:row>
    <x:row r="3" ht="30" customHeight="1">
      <x:c r="A3" s="7" t="str">
        <x:v>每日加班時數</x:v>
      </x:c>
      <x:c r="B3" s="7" t="n">
        <x:v>2</x:v>
      </x:c>
      <x:c r="C3" s="7" t="str">
        <x:v>9/14–18；3機台各1位合格操作員</x:v>
      </x:c>
    </x:row>
    <x:row r="4" ht="30" customHeight="1">
      <x:c r="A4" s="7" t="str">
        <x:v>每日加班人數</x:v>
      </x:c>
      <x:c r="B4" s="7" t="n">
        <x:v>3</x:v>
      </x:c>
      <x:c r="C4" s="7" t="str">
        <x:v>不含日班支援；備料在常班完成</x:v>
      </x:c>
    </x:row>
    <x:row r="5" ht="30" customHeight="1">
      <x:c r="A5" s="7" t="str">
        <x:v>加班工作日數</x:v>
      </x:c>
      <x:c r="B5" s="7" t="n">
        <x:v>5</x:v>
      </x:c>
      <x:c r="C5" s="7" t="str">
        <x:v>9/14、15、16、17、18</x:v>
      </x:c>
    </x:row>
    <x:row r="6" ht="30" customHeight="1">
      <x:c r="A6" s="7" t="str">
        <x:v>加班總額</x:v>
      </x:c>
      <x:c r="B6" s="7" t="n">
        <x:f>B2*B3*B4*B5</x:f>
        <x:v>9600</x:v>
      </x:c>
      <x:c r="C6" s="7" t="str">
        <x:v>人數×時數×天數×320</x:v>
      </x:c>
    </x:row>
    <x:row r="7" ht="30" customHeight="1">
      <x:c r="A7" s="7" t="str">
        <x:v>急單件數</x:v>
      </x:c>
      <x:c r="B7" s="7" t="n">
        <x:v>3000</x:v>
      </x:c>
      <x:c r="C7" s="7" t="str">
        <x:v>與日別CNC合計一致</x:v>
      </x:c>
    </x:row>
    <x:row r="8" ht="30" customHeight="1">
      <x:c r="A8" s="7" t="str">
        <x:v>每件加班增加</x:v>
      </x:c>
      <x:c r="B8" s="7" t="n">
        <x:f>B6/B7</x:f>
        <x:v>3.2</x:v>
      </x:c>
      <x:c r="C8" s="7" t="str">
        <x:v>成本僅加本次實際增量</x:v>
      </x:c>
    </x:row>
    <x:row r="9" ht="30" customHeight="1">
      <x:c r="A9" s="7" t="str">
        <x:v>三趟專車總額</x:v>
      </x:c>
      <x:c r="B9" s="7" t="n">
        <x:v>1800</x:v>
      </x:c>
      <x:c r="C9" s="7" t="str">
        <x:v>9/19送、9/24回、9/26交；每趟600元，含司機</x:v>
      </x:c>
    </x:row>
    <x:row r="10" ht="30" customHeight="1">
      <x:c r="A10" s="7" t="str">
        <x:v>每件物流增加</x:v>
      </x:c>
      <x:c r="B10" s="7" t="n">
        <x:f>B9/B7</x:f>
        <x:v>0.6</x:v>
      </x:c>
      <x:c r="C10" s="7" t="str">
        <x:v>正常檢驗包裝費不含三趟專車</x:v>
      </x:c>
    </x:row>
    <x:row r="11" ht="30" customHeight="1">
      <x:c r="A11" s="7" t="str">
        <x:v>加急費率</x:v>
      </x:c>
      <x:c r="B11" s="11" t="n">
        <x:v>0.08</x:v>
      </x:c>
      <x:c r="C11" s="7" t="str">
        <x:v>虛構報價假設；需客戶接受</x:v>
      </x:c>
    </x:row>
    <x:row r="12" ht="30" customHeight="1">
      <x:c r="A12" s="7" t="str">
        <x:v>每台每日加班件數</x:v>
      </x:c>
      <x:c r="B12" s="7" t="n">
        <x:v>60</x:v>
      </x:c>
      <x:c r="C12" s="7" t="str">
        <x:v>2小時有效增加60件</x:v>
      </x:c>
    </x:row>
    <x:row r="13" ht="30" customHeight="1">
      <x:c r="A13" s="7" t="str">
        <x:v>合計加班件數</x:v>
      </x:c>
      <x:c r="B13" s="7" t="n">
        <x:f>B4*B5*B12</x:f>
        <x:v>900</x:v>
      </x:c>
      <x:c r="C13" s="7" t="str">
        <x:v>900件；日別常班急單2100件</x:v>
      </x:c>
    </x:row>
    <x:row r="14" ht="30" customHeight="1">
      <x:c r="A14" s="7" t="str">
        <x:v>合計加班人時</x:v>
      </x:c>
      <x:c r="B14" s="7" t="n">
        <x:f>B3*B4*B5</x:f>
        <x:v>30</x:v>
      </x:c>
      <x:c r="C14" s="7" t="str">
        <x:v>30人時；與日別CNC加班人時合計一致</x:v>
      </x:c>
    </x:row>
    <x:row r="15" ht="30" customHeight="1">
      <x:c r="A15" s="7" t="str">
        <x:v>9/25假日品檢時數</x:v>
      </x:c>
      <x:c r="B15" s="7" t="n">
        <x:v>5</x:v>
      </x:c>
      <x:c r="C15" s="7" t="str">
        <x:v>08:00–13:00；1500件÷300件/小時</x:v>
      </x:c>
    </x:row>
    <x:row r="16" ht="30" customHeight="1">
      <x:c r="A16" s="7" t="str">
        <x:v>假日品檢人數</x:v>
      </x:c>
      <x:c r="B16" s="7" t="n">
        <x:v>3</x:v>
      </x:c>
      <x:c r="C16" s="7" t="str">
        <x:v>2檢驗員+1包裝員；僅為急單值班</x:v>
      </x:c>
    </x:row>
    <x:row r="17" ht="30" customHeight="1">
      <x:c r="A17" s="7" t="str">
        <x:v>假日增量元/人時</x:v>
      </x:c>
      <x:c r="B17" s="7" t="n">
        <x:v>320</x:v>
      </x:c>
      <x:c r="C17" s="7" t="str">
        <x:v>虛構約定增量，基礎費4元未含此額；非勞動法費率判斷</x:v>
      </x:c>
    </x:row>
    <x:row r="18" ht="30" customHeight="1">
      <x:c r="A18" s="7" t="str">
        <x:v>假日品檢增加總額</x:v>
      </x:c>
      <x:c r="B18" s="7" t="n">
        <x:f>B15*B16*B17</x:f>
        <x:v>4800</x:v>
      </x:c>
      <x:c r="C18" s="7" t="str">
        <x:v>4,800元，全數歸屬急單</x:v>
      </x:c>
    </x:row>
    <x:row r="19" ht="30" customHeight="1">
      <x:c r="A19" s="7" t="str">
        <x:v>假日品檢每件增加</x:v>
      </x:c>
      <x:c r="B19" s="7" t="n">
        <x:f>B18/B7</x:f>
        <x:v>1.6</x:v>
      </x:c>
      <x:c r="C19" s="7" t="str">
        <x:v>1.60元/件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6" hidden="0" customWidth="1"/>
    <x:col min="3" max="3" width="13" hidden="0" customWidth="1"/>
    <x:col min="4" max="4" width="13" hidden="0" customWidth="1"/>
    <x:col min="5" max="5" width="13" hidden="0" customWidth="1"/>
    <x:col min="6" max="6" width="84" hidden="0" customWidth="1"/>
  </x:cols>
  <x:sheetData>
    <x:row r="1" ht="38" customHeight="1">
      <x:c r="A1" s="17" t="str">
        <x:v>期間</x:v>
      </x:c>
      <x:c r="B1" s="17" t="str">
        <x:v>班別</x:v>
      </x:c>
      <x:c r="C1" s="17" t="str">
        <x:v>原人數</x:v>
      </x:c>
      <x:c r="D1" s="17" t="str">
        <x:v>請假</x:v>
      </x:c>
      <x:c r="E1" s="17" t="str">
        <x:v>出勤</x:v>
      </x:c>
      <x:c r="F1" s="17" t="str">
        <x:v>影響</x:v>
      </x:c>
    </x:row>
    <x:row r="2" ht="30" customHeight="1">
      <x:c r="A2" s="7" t="str">
        <x:v>9/14–18</x:v>
      </x:c>
      <x:c r="B2" s="7" t="str">
        <x:v>CNC合格操作員</x:v>
      </x:c>
      <x:c r="C2" s="7" t="n">
        <x:v>3</x:v>
      </x:c>
      <x:c r="D2" s="7" t="n">
        <x:v>0</x:v>
      </x:c>
      <x:c r="E2" s="7" t="n">
        <x:v>3</x:v>
      </x:c>
      <x:c r="F2" s="7" t="str">
        <x:v>3台各1人；每日每人加班2小時</x:v>
      </x:c>
    </x:row>
    <x:row r="3" ht="30" customHeight="1">
      <x:c r="A3" s="7" t="str">
        <x:v>9/14–18</x:v>
      </x:c>
      <x:c r="B3" s="7" t="str">
        <x:v>CNC備料/輔助</x:v>
      </x:c>
      <x:c r="C3" s="7" t="n">
        <x:v>3</x:v>
      </x:c>
      <x:c r="D3" s="7" t="n">
        <x:v>0</x:v>
      </x:c>
      <x:c r="E3" s="7" t="n">
        <x:v>3</x:v>
      </x:c>
      <x:c r="F3" s="7" t="str">
        <x:v>含新進1位；不加班</x:v>
      </x:c>
    </x:row>
    <x:row r="4" ht="30" customHeight="1">
      <x:c r="A4" s="7" t="str">
        <x:v>9/21–25</x:v>
      </x:c>
      <x:c r="B4" s="7" t="str">
        <x:v>CNC合格操作員</x:v>
      </x:c>
      <x:c r="C4" s="7" t="n">
        <x:v>3</x:v>
      </x:c>
      <x:c r="D4" s="7" t="n">
        <x:v>0</x:v>
      </x:c>
      <x:c r="E4" s="7" t="n">
        <x:v>3</x:v>
      </x:c>
      <x:c r="F4" s="7" t="str">
        <x:v>常班；本案急單已於9/18完成CNC</x:v>
      </x:c>
    </x:row>
    <x:row r="5" ht="30" customHeight="1">
      <x:c r="A5" s="7" t="str">
        <x:v>9/21–25</x:v>
      </x:c>
      <x:c r="B5" s="7" t="str">
        <x:v>CNC備料/輔助</x:v>
      </x:c>
      <x:c r="C5" s="7" t="n">
        <x:v>3</x:v>
      </x:c>
      <x:c r="D5" s="7" t="n">
        <x:v>1</x:v>
      </x:c>
      <x:c r="E5" s="7" t="n">
        <x:v>2</x:v>
      </x:c>
      <x:c r="F5" s="7" t="str">
        <x:v>阿明請假；CNC-02有效產能250降150/日</x:v>
      </x:c>
    </x:row>
    <x:row r="6" ht="30" customHeight="1">
      <x:c r="A6" s="7" t="str">
        <x:v>全期</x:v>
      </x:c>
      <x:c r="B6" s="7" t="str">
        <x:v>內製電鍍</x:v>
      </x:c>
      <x:c r="C6" s="7" t="n">
        <x:v>2</x:v>
      </x:c>
      <x:c r="D6" s="7" t="n">
        <x:v>0</x:v>
      </x:c>
      <x:c r="E6" s="7" t="n">
        <x:v>2</x:v>
      </x:c>
      <x:c r="F6" s="7" t="str">
        <x:v>400件/日；無加班</x:v>
      </x:c>
    </x:row>
    <x:row r="7" ht="30" customHeight="1">
      <x:c r="A7" s="7" t="str">
        <x:v>全期</x:v>
      </x:c>
      <x:c r="B7" s="7" t="str">
        <x:v>檢驗包裝</x:v>
      </x:c>
      <x:c r="C7" s="7" t="n">
        <x:v>3</x:v>
      </x:c>
      <x:c r="D7" s="7" t="n">
        <x:v>0</x:v>
      </x:c>
      <x:c r="E7" s="7" t="n">
        <x:v>3</x:v>
      </x:c>
      <x:c r="F7" s="7" t="str">
        <x:v>2位檢驗+1位包裝，合計2400件/日</x:v>
      </x:c>
    </x:row>
    <x:row r="8" ht="30" customHeight="1">
      <x:c r="A8" s="7" t="str">
        <x:v>9/19、24、26</x:v>
      </x:c>
      <x:c r="B8" s="7" t="str">
        <x:v>專車司機</x:v>
      </x:c>
      <x:c r="C8" s="7" t="n">
        <x:v>1</x:v>
      </x:c>
      <x:c r="D8" s="7" t="n">
        <x:v>0</x:v>
      </x:c>
      <x:c r="E8" s="7" t="n">
        <x:v>1</x:v>
      </x:c>
      <x:c r="F8" s="7" t="str">
        <x:v>委外三趟費用含人工，無重複計入加班</x:v>
      </x:c>
    </x:row>
    <x:row r="9" ht="30" customHeight="1">
      <x:c r="A9" s="7" t="str">
        <x:v>9/25 08:00–13:00</x:v>
      </x:c>
      <x:c r="B9" s="7" t="str">
        <x:v>品檢假日專案</x:v>
      </x:c>
      <x:c r="C9" s="7" t="n">
        <x:v>3</x:v>
      </x:c>
      <x:c r="D9" s="7" t="n">
        <x:v>0</x:v>
      </x:c>
      <x:c r="E9" s="7" t="n">
        <x:v>3</x:v>
      </x:c>
      <x:c r="F9" s="7" t="str">
        <x:v>急單專用5小時；增量4,800元已計成本</x:v>
      </x:c>
    </x:row>
  </x:sheetData>
  <x:pageMargins left="0.7" right="0.7" top="0.75" bottom="0.75" header="0.3" footer="0.3"/>
</x:worksheet>
</file>