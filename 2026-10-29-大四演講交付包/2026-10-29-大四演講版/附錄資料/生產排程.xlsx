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4bfee3f67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月排程" sheetId="1" r:id="R66105d306def44f4"/>
    <x:sheet xmlns:r="http://schemas.openxmlformats.org/officeDocument/2006/relationships" name="產能" sheetId="2" r:id="R3dd11ddc68964e29"/>
    <x:sheet xmlns:r="http://schemas.openxmlformats.org/officeDocument/2006/relationships" name="工作日" sheetId="3" r:id="R5ddd3baa669f415e"/>
    <x:sheet xmlns:r="http://schemas.openxmlformats.org/officeDocument/2006/relationships" name="日別CNC" sheetId="4" r:id="R7d56e59d4a25403b"/>
    <x:sheet xmlns:r="http://schemas.openxmlformats.org/officeDocument/2006/relationships" name="工序日別" sheetId="5" r:id="Rd82f24661b074b1e"/>
    <x:sheet xmlns:r="http://schemas.openxmlformats.org/officeDocument/2006/relationships" name="運輸交付" sheetId="6" r:id="R459a304390ca4abd"/>
    <x:sheet xmlns:r="http://schemas.openxmlformats.org/officeDocument/2006/relationships" name="示範假設" sheetId="7" r:id="Re38ea502b328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5">
    <x:font>
      <x:sz val="11"/>
      <x:color theme="1"/>
      <x:name val="Calibri"/>
    </x:font>
    <x:font>
      <x:b/>
      <x:color rgb="FFFFFFFF"/>
    </x:font>
    <x:font>
      <x:b/>
      <x:sz val="11"/>
      <x:color rgb="FF223128"/>
      <x:name val="Microsoft JhengHei"/>
    </x:font>
    <x:font>
      <x:sz val="11"/>
      <x:color rgb="FF223128"/>
      <x:name val="Microsoft JhengHei"/>
    </x:font>
    <x:font>
      <x:b/>
      <x:sz val="11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E5A36"/>
      </x:patternFill>
    </x:fill>
    <x:fill>
      <x:patternFill patternType="solid">
        <x:fgColor rgb="FF2E5A36"/>
      </x:patternFill>
    </x:fill>
    <x:fill>
      <x:patternFill patternType="solid">
        <x:fgColor rgb="FF2E5A3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524717a9248be" /><Relationship Type="http://schemas.openxmlformats.org/officeDocument/2006/relationships/theme" Target="/xl/theme/theme1.xml" Id="R3fdec0fcc78040e7" /><Relationship Type="http://schemas.openxmlformats.org/officeDocument/2006/relationships/sharedStrings" Target="/xl/sharedStrings.xml" Id="R80494398fe964795" /><Relationship Type="http://schemas.openxmlformats.org/officeDocument/2006/relationships/worksheet" Target="/xl/worksheets/sheet1.xml" Id="R66105d306def44f4" /><Relationship Type="http://schemas.openxmlformats.org/officeDocument/2006/relationships/worksheet" Target="/xl/worksheets/sheet2.xml" Id="R3dd11ddc68964e29" /><Relationship Type="http://schemas.openxmlformats.org/officeDocument/2006/relationships/worksheet" Target="/xl/worksheets/sheet3.xml" Id="R5ddd3baa669f415e" /><Relationship Type="http://schemas.openxmlformats.org/officeDocument/2006/relationships/worksheet" Target="/xl/worksheets/sheet4.xml" Id="R7d56e59d4a25403b" /><Relationship Type="http://schemas.openxmlformats.org/officeDocument/2006/relationships/worksheet" Target="/xl/worksheets/sheet5.xml" Id="Rd82f24661b074b1e" /><Relationship Type="http://schemas.openxmlformats.org/officeDocument/2006/relationships/worksheet" Target="/xl/worksheets/sheet6.xml" Id="R459a304390ca4abd" /><Relationship Type="http://schemas.openxmlformats.org/officeDocument/2006/relationships/worksheet" Target="/xl/worksheets/sheet7.xml" Id="Re38ea502b32845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45" hidden="0" customWidth="1"/>
  </x:cols>
  <x:sheetData>
    <x:row r="1" ht="38" customHeight="1">
      <x:c r="A1" s="14" t="str">
        <x:v>資源</x:v>
      </x:c>
      <x:c r="B1" s="14" t="str">
        <x:v>工單</x:v>
      </x:c>
      <x:c r="C1" s="14" t="str">
        <x:v>客戶</x:v>
      </x:c>
      <x:c r="D1" s="14" t="str">
        <x:v>品號</x:v>
      </x:c>
      <x:c r="E1" s="14" t="str">
        <x:v>開始</x:v>
      </x:c>
      <x:c r="F1" s="14" t="str">
        <x:v>結束</x:v>
      </x:c>
      <x:c r="G1" s="14" t="str">
        <x:v>數量</x:v>
      </x:c>
      <x:c r="H1" s="14" t="str">
        <x:v>說明</x:v>
      </x:c>
    </x:row>
    <x:row r="2" ht="30" customHeight="1">
      <x:c r="A2" s="7" t="str">
        <x:v>CNC-01</x:v>
      </x:c>
      <x:c r="B2" s="7" t="str">
        <x:v>PO-2608120</x:v>
      </x:c>
      <x:c r="C2" s="7" t="str">
        <x:v>順達工業</x:v>
      </x:c>
      <x:c r="D2" s="7" t="str">
        <x:v>SD-330</x:v>
      </x:c>
      <x:c r="E2" s="12" t="n">
        <x:v>46279</x:v>
      </x:c>
      <x:c r="F2" s="12" t="n">
        <x:v>46283</x:v>
      </x:c>
      <x:c r="G2" s="7" t="n">
        <x:v>1000</x:v>
      </x:c>
      <x:c r="H2" s="7" t="str">
        <x:v>既有單；200件/日</x:v>
      </x:c>
    </x:row>
    <x:row r="3" ht="30" customHeight="1">
      <x:c r="A3" s="7" t="str">
        <x:v>CNC-01</x:v>
      </x:c>
      <x:c r="B3" s="7" t="str">
        <x:v>PO-2609005</x:v>
      </x:c>
      <x:c r="C3" s="7" t="str">
        <x:v>大成機械</x:v>
      </x:c>
      <x:c r="D3" s="7" t="str">
        <x:v>DC-1120</x:v>
      </x:c>
      <x:c r="E3" s="12" t="n">
        <x:v>46286</x:v>
      </x:c>
      <x:c r="F3" s="12" t="n">
        <x:v>46289</x:v>
      </x:c>
      <x:c r="G3" s="7" t="n">
        <x:v>800</x:v>
      </x:c>
      <x:c r="H3" s="7" t="str">
        <x:v>既有單；200件/日</x:v>
      </x:c>
    </x:row>
    <x:row r="4" ht="30" customHeight="1">
      <x:c r="A4" s="7" t="str">
        <x:v>CNC-02</x:v>
      </x:c>
      <x:c r="B4" s="7" t="str">
        <x:v>PO-2609002</x:v>
      </x:c>
      <x:c r="C4" s="7" t="str">
        <x:v>順達工業</x:v>
      </x:c>
      <x:c r="D4" s="7" t="str">
        <x:v>SD-331</x:v>
      </x:c>
      <x:c r="E4" s="12" t="n">
        <x:v>46279</x:v>
      </x:c>
      <x:c r="F4" s="12" t="n">
        <x:v>46281</x:v>
      </x:c>
      <x:c r="G4" s="7" t="n">
        <x:v>600</x:v>
      </x:c>
      <x:c r="H4" s="7" t="str">
        <x:v>既有單；200件/日</x:v>
      </x:c>
    </x:row>
    <x:row r="5" ht="30" customHeight="1">
      <x:c r="A5" s="7" t="str">
        <x:v>CNC-03</x:v>
      </x:c>
      <x:c r="B5" s="7" t="str">
        <x:v>PO-2609011</x:v>
      </x:c>
      <x:c r="C5" s="7" t="str">
        <x:v>宏達汽車</x:v>
      </x:c>
      <x:c r="D5" s="7" t="str">
        <x:v>HD-770</x:v>
      </x:c>
      <x:c r="E5" s="12" t="n">
        <x:v>46287</x:v>
      </x:c>
      <x:c r="F5" s="12" t="n">
        <x:v>46288</x:v>
      </x:c>
      <x:c r="G5" s="7" t="n">
        <x:v>500</x:v>
      </x:c>
      <x:c r="H5" s="7" t="str">
        <x:v>既有單；250件/日</x:v>
      </x:c>
    </x:row>
    <x:row r="6" ht="30" customHeight="1">
      <x:c r="A6" s="7" t="str">
        <x:v>CNC-01</x:v>
      </x:c>
      <x:c r="B6" s="7" t="str">
        <x:v>PO-2609021</x:v>
      </x:c>
      <x:c r="C6" s="7" t="str">
        <x:v>鈺豐科技</x:v>
      </x:c>
      <x:c r="D6" s="7" t="str">
        <x:v>YF-2048</x:v>
      </x:c>
      <x:c r="E6" s="12" t="n">
        <x:v>46279</x:v>
      </x:c>
      <x:c r="F6" s="12" t="n">
        <x:v>46283</x:v>
      </x:c>
      <x:c r="G6" s="7" t="n">
        <x:v>550</x:v>
      </x:c>
      <x:c r="H6" s="7" t="str">
        <x:v>方案；含加班300件</x:v>
      </x:c>
    </x:row>
    <x:row r="7" ht="30" customHeight="1">
      <x:c r="A7" s="7" t="str">
        <x:v>CNC-02</x:v>
      </x:c>
      <x:c r="B7" s="7" t="str">
        <x:v>PO-2609021</x:v>
      </x:c>
      <x:c r="C7" s="7" t="str">
        <x:v>鈺豐科技</x:v>
      </x:c>
      <x:c r="D7" s="7" t="str">
        <x:v>YF-2048</x:v>
      </x:c>
      <x:c r="E7" s="12" t="n">
        <x:v>46279</x:v>
      </x:c>
      <x:c r="F7" s="12" t="n">
        <x:v>46283</x:v>
      </x:c>
      <x:c r="G7" s="7" t="n">
        <x:v>950</x:v>
      </x:c>
      <x:c r="H7" s="7" t="str">
        <x:v>方案；含加班300件</x:v>
      </x:c>
    </x:row>
    <x:row r="8" ht="30" customHeight="1">
      <x:c r="A8" s="7" t="str">
        <x:v>CNC-03</x:v>
      </x:c>
      <x:c r="B8" s="7" t="str">
        <x:v>PO-2609021</x:v>
      </x:c>
      <x:c r="C8" s="7" t="str">
        <x:v>鈺豐科技</x:v>
      </x:c>
      <x:c r="D8" s="7" t="str">
        <x:v>YF-2048</x:v>
      </x:c>
      <x:c r="E8" s="12" t="n">
        <x:v>46279</x:v>
      </x:c>
      <x:c r="F8" s="12" t="n">
        <x:v>46283</x:v>
      </x:c>
      <x:c r="G8" s="7" t="n">
        <x:v>1500</x:v>
      </x:c>
      <x:c r="H8" s="7" t="str">
        <x:v>方案；含加班300件</x:v>
      </x:c>
    </x:row>
    <x:row r="9" ht="30" customHeight="1">
      <x:c r="A9" s="7" t="str">
        <x:v>內製電鍍</x:v>
      </x:c>
      <x:c r="B9" s="7" t="str">
        <x:v>PO-2608120</x:v>
      </x:c>
      <x:c r="C9" s="7" t="str">
        <x:v>順達工業</x:v>
      </x:c>
      <x:c r="D9" s="7" t="str">
        <x:v>SD-330</x:v>
      </x:c>
      <x:c r="E9" s="12" t="n">
        <x:v>46280</x:v>
      </x:c>
      <x:c r="F9" s="12" t="n">
        <x:v>46286</x:v>
      </x:c>
      <x:c r="G9" s="7" t="n">
        <x:v>1000</x:v>
      </x:c>
      <x:c r="H9" s="7" t="str">
        <x:v>前日CNC批次進站；每日200件</x:v>
      </x:c>
    </x:row>
    <x:row r="10" ht="30" customHeight="1">
      <x:c r="A10" s="7" t="str">
        <x:v>內製電鍍</x:v>
      </x:c>
      <x:c r="B10" s="7" t="str">
        <x:v>PO-2609008</x:v>
      </x:c>
      <x:c r="C10" s="7" t="str">
        <x:v>宏達汽車</x:v>
      </x:c>
      <x:c r="D10" s="7" t="str">
        <x:v>HD-750</x:v>
      </x:c>
      <x:c r="E10" s="12" t="n">
        <x:v>46287</x:v>
      </x:c>
      <x:c r="F10" s="12" t="n">
        <x:v>46300</x:v>
      </x:c>
      <x:c r="G10" s="7" t="n">
        <x:v>3200</x:v>
      </x:c>
      <x:c r="H10" s="7" t="str">
        <x:v>8工作日×400；9/25–28停工</x:v>
      </x:c>
    </x:row>
    <x:row r="11" ht="30" customHeight="1">
      <x:c r="A11" s="7" t="str">
        <x:v>永光外包</x:v>
      </x:c>
      <x:c r="B11" s="7" t="str">
        <x:v>PO-2609021</x:v>
      </x:c>
      <x:c r="C11" s="7" t="str">
        <x:v>鈺豐科技</x:v>
      </x:c>
      <x:c r="D11" s="7" t="str">
        <x:v>YF-2048</x:v>
      </x:c>
      <x:c r="E11" s="12" t="n">
        <x:v>46286</x:v>
      </x:c>
      <x:c r="F11" s="12" t="n">
        <x:v>46288</x:v>
      </x:c>
      <x:c r="G11" s="7" t="n">
        <x:v>3000</x:v>
      </x:c>
      <x:c r="H11" s="7" t="str">
        <x:v>9/19送達；每日1,000件；3工作日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8" hidden="0" customWidth="1"/>
    <x:col min="3" max="3" width="20" hidden="0" customWidth="1"/>
    <x:col min="4" max="4" width="18" hidden="0" customWidth="1"/>
    <x:col min="5" max="5" width="23" hidden="0" customWidth="1"/>
    <x:col min="6" max="6" width="54" hidden="0" customWidth="1"/>
  </x:cols>
  <x:sheetData>
    <x:row r="1" ht="38" customHeight="1">
      <x:c r="A1" s="14" t="str">
        <x:v>資源</x:v>
      </x:c>
      <x:c r="B1" s="14" t="str">
        <x:v>數量</x:v>
      </x:c>
      <x:c r="C1" s="14" t="str">
        <x:v>常班每資源件/日</x:v>
      </x:c>
      <x:c r="D1" s="14" t="str">
        <x:v>每日常班時數</x:v>
      </x:c>
      <x:c r="E1" s="14" t="str">
        <x:v>加班增加件/資源日</x:v>
      </x:c>
      <x:c r="F1" s="14" t="str">
        <x:v>說明</x:v>
      </x:c>
    </x:row>
    <x:row r="2" ht="30" customHeight="1">
      <x:c r="A2" s="7" t="str">
        <x:v>CNC車床</x:v>
      </x:c>
      <x:c r="B2" s="7" t="n">
        <x:v>3</x:v>
      </x:c>
      <x:c r="C2" s="7" t="n">
        <x:v>250</x:v>
      </x:c>
      <x:c r="D2" s="7" t="n">
        <x:v>8</x:v>
      </x:c>
      <x:c r="E2" s="7" t="n">
        <x:v>60</x:v>
      </x:c>
      <x:c r="F2" s="7" t="str">
        <x:v>每台+2小時；有效節拍1.92分鐘/件</x:v>
      </x:c>
    </x:row>
    <x:row r="3" ht="30" customHeight="1">
      <x:c r="A3" s="7" t="str">
        <x:v>CNC-02缺員期間</x:v>
      </x:c>
      <x:c r="B3" s="7" t="n">
        <x:v>1</x:v>
      </x:c>
      <x:c r="C3" s="7" t="n">
        <x:v>150</x:v>
      </x:c>
      <x:c r="D3" s="7" t="n">
        <x:v>8</x:v>
      </x:c>
      <x:c r="E3" s="7" t="n">
        <x:v>0</x:v>
      </x:c>
      <x:c r="F3" s="7" t="str">
        <x:v>僅9/21–25；原能力減100件</x:v>
      </x:c>
    </x:row>
    <x:row r="4" ht="30" customHeight="1">
      <x:c r="A4" s="7" t="str">
        <x:v>內製電鍍</x:v>
      </x:c>
      <x:c r="B4" s="7" t="n">
        <x:v>1</x:v>
      </x:c>
      <x:c r="C4" s="7" t="n">
        <x:v>400</x:v>
      </x:c>
      <x:c r="D4" s="7" t="n">
        <x:v>8</x:v>
      </x:c>
      <x:c r="E4" s="7" t="n">
        <x:v>0</x:v>
      </x:c>
      <x:c r="F4" s="7" t="str">
        <x:v>既有單使用，不加班</x:v>
      </x:c>
    </x:row>
    <x:row r="5" ht="30" customHeight="1">
      <x:c r="A5" s="7" t="str">
        <x:v>檢驗站</x:v>
      </x:c>
      <x:c r="B5" s="7" t="n">
        <x:v>2</x:v>
      </x:c>
      <x:c r="C5" s="7" t="n">
        <x:v>1200</x:v>
      </x:c>
      <x:c r="D5" s="7" t="n">
        <x:v>8</x:v>
      </x:c>
      <x:c r="E5" s="7" t="n">
        <x:v>0</x:v>
      </x:c>
      <x:c r="F5" s="7" t="str">
        <x:v>兩站合計2,400件/日；含包裝</x:v>
      </x:c>
    </x:row>
    <x:row r="6" ht="30" customHeight="1">
      <x:c r="A6" s="7" t="str">
        <x:v>永光保留時段</x:v>
      </x:c>
      <x:c r="B6" s="7" t="n">
        <x:v>1</x:v>
      </x:c>
      <x:c r="C6" s="7" t="n">
        <x:v>1500</x:v>
      </x:c>
      <x:c r="D6" s="7" t="n">
        <x:v>8</x:v>
      </x:c>
      <x:c r="E6" s="7" t="n">
        <x:v>0</x:v>
      </x:c>
      <x:c r="F6" s="7" t="str">
        <x:v>9/21–23本案占1,000件/日，其餘不屬本廠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hidden="0" customWidth="1"/>
    <x:col min="2" max="2" width="8" hidden="0" customWidth="1"/>
    <x:col min="3" max="3" width="24" hidden="0" customWidth="1"/>
    <x:col min="4" max="4" width="16" hidden="0" customWidth="1"/>
    <x:col min="5" max="5" width="87" hidden="0" customWidth="1"/>
  </x:cols>
  <x:sheetData>
    <x:row r="1" ht="38" customHeight="1">
      <x:c r="A1" s="14" t="str">
        <x:v>日期</x:v>
      </x:c>
      <x:c r="B1" s="14" t="str">
        <x:v>星期</x:v>
      </x:c>
      <x:c r="C1" s="14" t="str">
        <x:v>生產工作日(1/0)</x:v>
      </x:c>
      <x:c r="D1" s="14" t="str">
        <x:v>常班時數</x:v>
      </x:c>
      <x:c r="E1" s="14" t="str">
        <x:v>排班說明</x:v>
      </x:c>
    </x:row>
    <x:row r="2" ht="30" customHeight="1">
      <x:c r="A2" s="12" t="n">
        <x:v>46277</x:v>
      </x:c>
      <x:c r="B2" s="7" t="str">
        <x:v>六</x:v>
      </x:c>
      <x:c r="C2" s="7" t="n">
        <x:v>0</x:v>
      </x:c>
      <x:c r="D2" s="7" t="n">
        <x:v>0</x:v>
      </x:c>
      <x:c r="E2" s="7" t="str">
        <x:v>示範工廠約定工作日；依本表排班，不套用實際國定假日</x:v>
      </x:c>
    </x:row>
    <x:row r="3" ht="30" customHeight="1">
      <x:c r="A3" s="12" t="n">
        <x:v>46278</x:v>
      </x:c>
      <x:c r="B3" s="7" t="str">
        <x:v>日</x:v>
      </x:c>
      <x:c r="C3" s="7" t="n">
        <x:v>0</x:v>
      </x:c>
      <x:c r="D3" s="7" t="n">
        <x:v>0</x:v>
      </x:c>
      <x:c r="E3" s="7" t="str">
        <x:v>示範工廠約定工作日；依本表排班，不套用實際國定假日</x:v>
      </x:c>
    </x:row>
    <x:row r="4" ht="30" customHeight="1">
      <x:c r="A4" s="12" t="n">
        <x:v>46279</x:v>
      </x:c>
      <x:c r="B4" s="7" t="str">
        <x:v>一</x:v>
      </x:c>
      <x:c r="C4" s="7" t="n">
        <x:v>1</x:v>
      </x:c>
      <x:c r="D4" s="7" t="n">
        <x:v>8</x:v>
      </x:c>
      <x:c r="E4" s="7" t="str">
        <x:v>週一至週五常班；國定假日另註；工廠假設以官方日曆為基準</x:v>
      </x:c>
    </x:row>
    <x:row r="5" ht="30" customHeight="1">
      <x:c r="A5" s="12" t="n">
        <x:v>46280</x:v>
      </x:c>
      <x:c r="B5" s="7" t="str">
        <x:v>二</x:v>
      </x:c>
      <x:c r="C5" s="7" t="n">
        <x:v>1</x:v>
      </x:c>
      <x:c r="D5" s="7" t="n">
        <x:v>8</x:v>
      </x:c>
      <x:c r="E5" s="7" t="str">
        <x:v>週一至週五常班；國定假日另註；工廠假設以官方日曆為基準</x:v>
      </x:c>
    </x:row>
    <x:row r="6" ht="30" customHeight="1">
      <x:c r="A6" s="12" t="n">
        <x:v>46281</x:v>
      </x:c>
      <x:c r="B6" s="7" t="str">
        <x:v>三</x:v>
      </x:c>
      <x:c r="C6" s="7" t="n">
        <x:v>1</x:v>
      </x:c>
      <x:c r="D6" s="7" t="n">
        <x:v>8</x:v>
      </x:c>
      <x:c r="E6" s="7" t="str">
        <x:v>週一至週五常班；國定假日另註；工廠假設以官方日曆為基準</x:v>
      </x:c>
    </x:row>
    <x:row r="7" ht="30" customHeight="1">
      <x:c r="A7" s="12" t="n">
        <x:v>46282</x:v>
      </x:c>
      <x:c r="B7" s="7" t="str">
        <x:v>四</x:v>
      </x:c>
      <x:c r="C7" s="7" t="n">
        <x:v>1</x:v>
      </x:c>
      <x:c r="D7" s="7" t="n">
        <x:v>8</x:v>
      </x:c>
      <x:c r="E7" s="7" t="str">
        <x:v>週一至週五常班；國定假日另註；工廠假設以官方日曆為基準</x:v>
      </x:c>
    </x:row>
    <x:row r="8" ht="30" customHeight="1">
      <x:c r="A8" s="12" t="n">
        <x:v>46283</x:v>
      </x:c>
      <x:c r="B8" s="7" t="str">
        <x:v>五</x:v>
      </x:c>
      <x:c r="C8" s="7" t="n">
        <x:v>1</x:v>
      </x:c>
      <x:c r="D8" s="7" t="n">
        <x:v>8</x:v>
      </x:c>
      <x:c r="E8" s="7" t="str">
        <x:v>週一至週五常班；國定假日另註；工廠假設以官方日曆為基準</x:v>
      </x:c>
    </x:row>
    <x:row r="9" ht="30" customHeight="1">
      <x:c r="A9" s="12" t="n">
        <x:v>46284</x:v>
      </x:c>
      <x:c r="B9" s="7" t="str">
        <x:v>六</x:v>
      </x:c>
      <x:c r="C9" s="7" t="n">
        <x:v>0</x:v>
      </x:c>
      <x:c r="D9" s="7" t="n">
        <x:v>0</x:v>
      </x:c>
      <x:c r="E9" s="7" t="str">
        <x:v>僅09:00–10:00專車送永光、倉庫收件；不生產</x:v>
      </x:c>
    </x:row>
    <x:row r="10" ht="30" customHeight="1">
      <x:c r="A10" s="12" t="n">
        <x:v>46285</x:v>
      </x:c>
      <x:c r="B10" s="7" t="str">
        <x:v>日</x:v>
      </x:c>
      <x:c r="C10" s="7" t="n">
        <x:v>0</x:v>
      </x:c>
      <x:c r="D10" s="7" t="n">
        <x:v>0</x:v>
      </x:c>
      <x:c r="E10" s="7" t="str">
        <x:v>示範工廠約定工作日；依本表排班，不套用實際國定假日</x:v>
      </x:c>
    </x:row>
    <x:row r="11" ht="30" customHeight="1">
      <x:c r="A11" s="12" t="n">
        <x:v>46286</x:v>
      </x:c>
      <x:c r="B11" s="7" t="str">
        <x:v>一</x:v>
      </x:c>
      <x:c r="C11" s="7" t="n">
        <x:v>1</x:v>
      </x:c>
      <x:c r="D11" s="7" t="n">
        <x:v>8</x:v>
      </x:c>
      <x:c r="E11" s="7" t="str">
        <x:v>週一至週五常班；國定假日另註；工廠假設以官方日曆為基準</x:v>
      </x:c>
    </x:row>
    <x:row r="12" ht="30" customHeight="1">
      <x:c r="A12" s="12" t="n">
        <x:v>46287</x:v>
      </x:c>
      <x:c r="B12" s="7" t="str">
        <x:v>二</x:v>
      </x:c>
      <x:c r="C12" s="7" t="n">
        <x:v>1</x:v>
      </x:c>
      <x:c r="D12" s="7" t="n">
        <x:v>8</x:v>
      </x:c>
      <x:c r="E12" s="7" t="str">
        <x:v>週一至週五常班；國定假日另註；工廠假設以官方日曆為基準</x:v>
      </x:c>
    </x:row>
    <x:row r="13" ht="30" customHeight="1">
      <x:c r="A13" s="12" t="n">
        <x:v>46288</x:v>
      </x:c>
      <x:c r="B13" s="7" t="str">
        <x:v>三</x:v>
      </x:c>
      <x:c r="C13" s="7" t="n">
        <x:v>1</x:v>
      </x:c>
      <x:c r="D13" s="7" t="n">
        <x:v>8</x:v>
      </x:c>
      <x:c r="E13" s="7" t="str">
        <x:v>週一至週五常班；國定假日另註；工廠假設以官方日曆為基準</x:v>
      </x:c>
    </x:row>
    <x:row r="14" ht="30" customHeight="1">
      <x:c r="A14" s="12" t="n">
        <x:v>46289</x:v>
      </x:c>
      <x:c r="B14" s="7" t="str">
        <x:v>四</x:v>
      </x:c>
      <x:c r="C14" s="7" t="n">
        <x:v>1</x:v>
      </x:c>
      <x:c r="D14" s="7" t="n">
        <x:v>8</x:v>
      </x:c>
      <x:c r="E14" s="7" t="str">
        <x:v>週一至週五常班；國定假日另註；工廠假設以官方日曆為基準</x:v>
      </x:c>
    </x:row>
    <x:row r="15" ht="30" customHeight="1">
      <x:c r="A15" s="12" t="n">
        <x:v>46290</x:v>
      </x:c>
      <x:c r="B15" s="7" t="str">
        <x:v>五</x:v>
      </x:c>
      <x:c r="C15" s="7" t="n">
        <x:v>0</x:v>
      </x:c>
      <x:c r="D15" s="7" t="n">
        <x:v>0</x:v>
      </x:c>
      <x:c r="E15" s="7" t="str">
        <x:v>中秋節；僅急單檢驗08:00–13:00，3人×5小時，另計4,800元</x:v>
      </x:c>
    </x:row>
    <x:row r="16" ht="30" customHeight="1">
      <x:c r="A16" s="12" t="n">
        <x:v>46291</x:v>
      </x:c>
      <x:c r="B16" s="7" t="str">
        <x:v>六</x:v>
      </x:c>
      <x:c r="C16" s="7" t="n">
        <x:v>0</x:v>
      </x:c>
      <x:c r="D16" s="7" t="n">
        <x:v>0</x:v>
      </x:c>
      <x:c r="E16" s="7" t="str">
        <x:v>僅09:00–12:00專車送客戶；不生產</x:v>
      </x:c>
    </x:row>
    <x:row r="17" ht="30" customHeight="1">
      <x:c r="A17" s="12" t="n">
        <x:v>46292</x:v>
      </x:c>
      <x:c r="B17" s="7" t="str">
        <x:v>日</x:v>
      </x:c>
      <x:c r="C17" s="7" t="n">
        <x:v>0</x:v>
      </x:c>
      <x:c r="D17" s="7" t="n">
        <x:v>0</x:v>
      </x:c>
      <x:c r="E17" s="7" t="str">
        <x:v>示範工廠約定工作日；依本表排班，不套用實際國定假日</x:v>
      </x:c>
    </x:row>
    <x:row r="18" ht="30" customHeight="1">
      <x:c r="A18" s="12" t="n">
        <x:v>46293</x:v>
      </x:c>
      <x:c r="B18" s="7" t="str">
        <x:v>一</x:v>
      </x:c>
      <x:c r="C18" s="7" t="n">
        <x:v>0</x:v>
      </x:c>
      <x:c r="D18" s="7" t="n">
        <x:v>0</x:v>
      </x:c>
      <x:c r="E18" s="7" t="str">
        <x:v>教師節；CNC、內外電鍍、品檢停工</x:v>
      </x:c>
    </x:row>
    <x:row r="19" ht="30" customHeight="1">
      <x:c r="A19" s="12" t="n">
        <x:v>46294</x:v>
      </x:c>
      <x:c r="B19" s="7" t="str">
        <x:v>二</x:v>
      </x:c>
      <x:c r="C19" s="7" t="n">
        <x:v>1</x:v>
      </x:c>
      <x:c r="D19" s="7" t="n">
        <x:v>8</x:v>
      </x:c>
      <x:c r="E19" s="7" t="str">
        <x:v>週一至週五常班；國定假日另註；工廠假設以官方日曆為基準</x:v>
      </x:c>
    </x:row>
    <x:row r="20" ht="30" customHeight="1">
      <x:c r="A20" s="12" t="n">
        <x:v>46295</x:v>
      </x:c>
      <x:c r="B20" s="7" t="str">
        <x:v>三</x:v>
      </x:c>
      <x:c r="C20" s="7" t="n">
        <x:v>1</x:v>
      </x:c>
      <x:c r="D20" s="7" t="n">
        <x:v>8</x:v>
      </x:c>
      <x:c r="E20" s="7" t="str">
        <x:v>週一至週五常班；國定假日另註；工廠假設以官方日曆為基準</x:v>
      </x:c>
    </x:row>
    <x:row r="21" ht="30" customHeight="1">
      <x:c r="A21" s="12" t="n">
        <x:v>46296</x:v>
      </x:c>
      <x:c r="B21" s="7" t="str">
        <x:v>四</x:v>
      </x:c>
      <x:c r="C21" s="7" t="n">
        <x:v>1</x:v>
      </x:c>
      <x:c r="D21" s="7" t="n">
        <x:v>8</x:v>
      </x:c>
      <x:c r="E21" s="7" t="str">
        <x:v>週一至週五常班；國定假日另註；工廠假設以官方日曆為基準</x:v>
      </x:c>
    </x:row>
    <x:row r="22" ht="30" customHeight="1">
      <x:c r="A22" s="12" t="n">
        <x:v>46297</x:v>
      </x:c>
      <x:c r="B22" s="7" t="str">
        <x:v>五</x:v>
      </x:c>
      <x:c r="C22" s="7" t="n">
        <x:v>1</x:v>
      </x:c>
      <x:c r="D22" s="7" t="n">
        <x:v>8</x:v>
      </x:c>
      <x:c r="E22" s="7" t="str">
        <x:v>週一至週五常班；國定假日另註；工廠假設以官方日曆為基準</x:v>
      </x:c>
    </x:row>
    <x:row r="23" ht="30" customHeight="1">
      <x:c r="A23" s="12" t="n">
        <x:v>46298</x:v>
      </x:c>
      <x:c r="B23" s="7" t="str">
        <x:v>六</x:v>
      </x:c>
      <x:c r="C23" s="7" t="n">
        <x:v>0</x:v>
      </x:c>
      <x:c r="D23" s="7" t="n">
        <x:v>0</x:v>
      </x:c>
      <x:c r="E23" s="7" t="str">
        <x:v>示範工廠約定工作日；依本表排班，不套用實際國定假日</x:v>
      </x:c>
    </x:row>
    <x:row r="24" ht="30" customHeight="1">
      <x:c r="A24" s="12" t="n">
        <x:v>46299</x:v>
      </x:c>
      <x:c r="B24" s="7" t="str">
        <x:v>日</x:v>
      </x:c>
      <x:c r="C24" s="7" t="n">
        <x:v>0</x:v>
      </x:c>
      <x:c r="D24" s="7" t="n">
        <x:v>0</x:v>
      </x:c>
      <x:c r="E24" s="7" t="str">
        <x:v>示範工廠約定工作日；依本表排班，不套用實際國定假日</x:v>
      </x:c>
    </x:row>
    <x:row r="25" ht="30" customHeight="1">
      <x:c r="A25" s="12" t="n">
        <x:v>46300</x:v>
      </x:c>
      <x:c r="B25" s="7" t="str">
        <x:v>一</x:v>
      </x:c>
      <x:c r="C25" s="7" t="n">
        <x:v>1</x:v>
      </x:c>
      <x:c r="D25" s="7" t="n">
        <x:v>8</x:v>
      </x:c>
      <x:c r="E25" s="7" t="str">
        <x:v>週一至週五常班；國定假日另註；工廠假設以官方日曆為基準</x:v>
      </x:c>
    </x:row>
    <x:row r="26" ht="30" customHeight="1">
      <x:c r="A26" s="12" t="n">
        <x:v>46301</x:v>
      </x:c>
      <x:c r="B26" s="7" t="str">
        <x:v>二</x:v>
      </x:c>
      <x:c r="C26" s="7" t="n">
        <x:v>1</x:v>
      </x:c>
      <x:c r="D26" s="7" t="n">
        <x:v>8</x:v>
      </x:c>
      <x:c r="E26" s="7" t="str">
        <x:v>週一至週五常班；國定假日另註；工廠假設以官方日曆為基準</x:v>
      </x:c>
    </x:row>
    <x:row r="27" ht="30" customHeight="1">
      <x:c r="A27" s="12" t="n">
        <x:v>46302</x:v>
      </x:c>
      <x:c r="B27" s="7" t="str">
        <x:v>三</x:v>
      </x:c>
      <x:c r="C27" s="7" t="n">
        <x:v>1</x:v>
      </x:c>
      <x:c r="D27" s="7" t="n">
        <x:v>8</x:v>
      </x:c>
      <x:c r="E27" s="7" t="str">
        <x:v>週一至週五常班；國定假日另註；工廠假設以官方日曆為基準</x:v>
      </x:c>
    </x:row>
    <x:row r="28" ht="30" customHeight="1">
      <x:c r="A28" s="12" t="n">
        <x:v>46303</x:v>
      </x:c>
      <x:c r="B28" s="7" t="str">
        <x:v>四</x:v>
      </x:c>
      <x:c r="C28" s="7" t="n">
        <x:v>1</x:v>
      </x:c>
      <x:c r="D28" s="7" t="n">
        <x:v>8</x:v>
      </x:c>
      <x:c r="E28" s="7" t="str">
        <x:v>週一至週五常班；國定假日另註；工廠假設以官方日曆為基準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30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9" hidden="0" customWidth="1"/>
    <x:col min="10" max="10" width="12" hidden="0" customWidth="1"/>
    <x:col min="11" max="11" width="12" hidden="0" customWidth="1"/>
    <x:col min="12" max="12" width="14" hidden="0" customWidth="1"/>
  </x:cols>
  <x:sheetData>
    <x:row r="1" ht="38" customHeight="1">
      <x:c r="A1" s="14" t="str">
        <x:v>日期</x:v>
      </x:c>
      <x:c r="B1" s="14" t="str">
        <x:v>機台</x:v>
      </x:c>
      <x:c r="C1" s="14" t="str">
        <x:v>既有工單</x:v>
      </x:c>
      <x:c r="D1" s="14" t="str">
        <x:v>既有量</x:v>
      </x:c>
      <x:c r="E1" s="14" t="str">
        <x:v>急單常班</x:v>
      </x:c>
      <x:c r="F1" s="14" t="str">
        <x:v>急單加班</x:v>
      </x:c>
      <x:c r="G1" s="14" t="str">
        <x:v>總量</x:v>
      </x:c>
      <x:c r="H1" s="14" t="str">
        <x:v>常班上限</x:v>
      </x:c>
      <x:c r="I1" s="14" t="str">
        <x:v>加班增量上限</x:v>
      </x:c>
      <x:c r="J1" s="14" t="str">
        <x:v>總上限</x:v>
      </x:c>
      <x:c r="K1" s="14" t="str">
        <x:v>剩餘</x:v>
      </x:c>
      <x:c r="L1" s="14" t="str">
        <x:v>加班人時</x:v>
      </x:c>
    </x:row>
    <x:row r="2" ht="30" customHeight="1">
      <x:c r="A2" s="12" t="n">
        <x:v>46279</x:v>
      </x:c>
      <x:c r="B2" s="7" t="str">
        <x:v>CNC-01</x:v>
      </x:c>
      <x:c r="C2" s="7" t="str">
        <x:v>PO-2608120 / SD-330</x:v>
      </x:c>
      <x:c r="D2" s="7" t="n">
        <x:v>200</x:v>
      </x:c>
      <x:c r="E2" s="7" t="n">
        <x:v>50</x:v>
      </x:c>
      <x:c r="F2" s="7" t="n">
        <x:v>60</x:v>
      </x:c>
      <x:c r="G2" s="7" t="n">
        <x:f>SUM(D2:F2)</x:f>
        <x:v>310</x:v>
      </x:c>
      <x:c r="H2" s="7" t="n">
        <x:f>'產能'!C2</x:f>
        <x:v>250</x:v>
      </x:c>
      <x:c r="I2" s="7" t="n">
        <x:f>'產能'!E2</x:f>
        <x:v>60</x:v>
      </x:c>
      <x:c r="J2" s="7" t="n">
        <x:f>H2+I2</x:f>
        <x:v>310</x:v>
      </x:c>
      <x:c r="K2" s="7" t="n">
        <x:f>J2-G2</x:f>
        <x:v>0</x:v>
      </x:c>
      <x:c r="L2" s="7" t="n">
        <x:f>IF(F2&gt;0,2,0)</x:f>
        <x:v>2</x:v>
      </x:c>
    </x:row>
    <x:row r="3" ht="30" customHeight="1">
      <x:c r="A3" s="12" t="n">
        <x:v>46279</x:v>
      </x:c>
      <x:c r="B3" s="7" t="str">
        <x:v>CNC-02</x:v>
      </x:c>
      <x:c r="C3" s="7" t="str">
        <x:v>PO-2609002 / SD-331</x:v>
      </x:c>
      <x:c r="D3" s="7" t="n">
        <x:v>200</x:v>
      </x:c>
      <x:c r="E3" s="7" t="n">
        <x:v>50</x:v>
      </x:c>
      <x:c r="F3" s="7" t="n">
        <x:v>60</x:v>
      </x:c>
      <x:c r="G3" s="7" t="n">
        <x:f>SUM(D3:F3)</x:f>
        <x:v>310</x:v>
      </x:c>
      <x:c r="H3" s="7" t="n">
        <x:f>'產能'!C2</x:f>
        <x:v>250</x:v>
      </x:c>
      <x:c r="I3" s="7" t="n">
        <x:f>'產能'!E2</x:f>
        <x:v>60</x:v>
      </x:c>
      <x:c r="J3" s="7" t="n">
        <x:f>H3+I3</x:f>
        <x:v>310</x:v>
      </x:c>
      <x:c r="K3" s="7" t="n">
        <x:f>J3-G3</x:f>
        <x:v>0</x:v>
      </x:c>
      <x:c r="L3" s="7" t="n">
        <x:f>IF(F3&gt;0,2,0)</x:f>
        <x:v>2</x:v>
      </x:c>
    </x:row>
    <x:row r="4" ht="30" customHeight="1">
      <x:c r="A4" s="12" t="n">
        <x:v>46279</x:v>
      </x:c>
      <x:c r="B4" s="7" t="str">
        <x:v>CNC-03</x:v>
      </x:c>
      <x:c r="C4" s="7" t="str"/>
      <x:c r="D4" s="7" t="n">
        <x:v>0</x:v>
      </x:c>
      <x:c r="E4" s="7" t="n">
        <x:v>250</x:v>
      </x:c>
      <x:c r="F4" s="7" t="n">
        <x:v>60</x:v>
      </x:c>
      <x:c r="G4" s="7" t="n">
        <x:f>SUM(D4:F4)</x:f>
        <x:v>310</x:v>
      </x:c>
      <x:c r="H4" s="7" t="n">
        <x:f>'產能'!C2</x:f>
        <x:v>250</x:v>
      </x:c>
      <x:c r="I4" s="7" t="n">
        <x:f>'產能'!E2</x:f>
        <x:v>60</x:v>
      </x:c>
      <x:c r="J4" s="7" t="n">
        <x:f>H4+I4</x:f>
        <x:v>310</x:v>
      </x:c>
      <x:c r="K4" s="7" t="n">
        <x:f>J4-G4</x:f>
        <x:v>0</x:v>
      </x:c>
      <x:c r="L4" s="7" t="n">
        <x:f>IF(F4&gt;0,2,0)</x:f>
        <x:v>2</x:v>
      </x:c>
    </x:row>
    <x:row r="5" ht="30" customHeight="1">
      <x:c r="A5" s="12" t="n">
        <x:v>46280</x:v>
      </x:c>
      <x:c r="B5" s="7" t="str">
        <x:v>CNC-01</x:v>
      </x:c>
      <x:c r="C5" s="7" t="str">
        <x:v>PO-2608120 / SD-330</x:v>
      </x:c>
      <x:c r="D5" s="7" t="n">
        <x:v>200</x:v>
      </x:c>
      <x:c r="E5" s="7" t="n">
        <x:v>50</x:v>
      </x:c>
      <x:c r="F5" s="7" t="n">
        <x:v>60</x:v>
      </x:c>
      <x:c r="G5" s="7" t="n">
        <x:f>SUM(D5:F5)</x:f>
        <x:v>310</x:v>
      </x:c>
      <x:c r="H5" s="7" t="n">
        <x:f>'產能'!C2</x:f>
        <x:v>250</x:v>
      </x:c>
      <x:c r="I5" s="7" t="n">
        <x:f>'產能'!E2</x:f>
        <x:v>60</x:v>
      </x:c>
      <x:c r="J5" s="7" t="n">
        <x:f>H5+I5</x:f>
        <x:v>310</x:v>
      </x:c>
      <x:c r="K5" s="7" t="n">
        <x:f>J5-G5</x:f>
        <x:v>0</x:v>
      </x:c>
      <x:c r="L5" s="7" t="n">
        <x:f>IF(F5&gt;0,2,0)</x:f>
        <x:v>2</x:v>
      </x:c>
    </x:row>
    <x:row r="6" ht="30" customHeight="1">
      <x:c r="A6" s="12" t="n">
        <x:v>46280</x:v>
      </x:c>
      <x:c r="B6" s="7" t="str">
        <x:v>CNC-02</x:v>
      </x:c>
      <x:c r="C6" s="7" t="str">
        <x:v>PO-2609002 / SD-331</x:v>
      </x:c>
      <x:c r="D6" s="7" t="n">
        <x:v>200</x:v>
      </x:c>
      <x:c r="E6" s="7" t="n">
        <x:v>50</x:v>
      </x:c>
      <x:c r="F6" s="7" t="n">
        <x:v>60</x:v>
      </x:c>
      <x:c r="G6" s="7" t="n">
        <x:f>SUM(D6:F6)</x:f>
        <x:v>310</x:v>
      </x:c>
      <x:c r="H6" s="7" t="n">
        <x:f>'產能'!C2</x:f>
        <x:v>250</x:v>
      </x:c>
      <x:c r="I6" s="7" t="n">
        <x:f>'產能'!E2</x:f>
        <x:v>60</x:v>
      </x:c>
      <x:c r="J6" s="7" t="n">
        <x:f>H6+I6</x:f>
        <x:v>310</x:v>
      </x:c>
      <x:c r="K6" s="7" t="n">
        <x:f>J6-G6</x:f>
        <x:v>0</x:v>
      </x:c>
      <x:c r="L6" s="7" t="n">
        <x:f>IF(F6&gt;0,2,0)</x:f>
        <x:v>2</x:v>
      </x:c>
    </x:row>
    <x:row r="7" ht="30" customHeight="1">
      <x:c r="A7" s="12" t="n">
        <x:v>46280</x:v>
      </x:c>
      <x:c r="B7" s="7" t="str">
        <x:v>CNC-03</x:v>
      </x:c>
      <x:c r="C7" s="7" t="str"/>
      <x:c r="D7" s="7" t="n">
        <x:v>0</x:v>
      </x:c>
      <x:c r="E7" s="7" t="n">
        <x:v>250</x:v>
      </x:c>
      <x:c r="F7" s="7" t="n">
        <x:v>60</x:v>
      </x:c>
      <x:c r="G7" s="7" t="n">
        <x:f>SUM(D7:F7)</x:f>
        <x:v>310</x:v>
      </x:c>
      <x:c r="H7" s="7" t="n">
        <x:f>'產能'!C2</x:f>
        <x:v>250</x:v>
      </x:c>
      <x:c r="I7" s="7" t="n">
        <x:f>'產能'!E2</x:f>
        <x:v>60</x:v>
      </x:c>
      <x:c r="J7" s="7" t="n">
        <x:f>H7+I7</x:f>
        <x:v>310</x:v>
      </x:c>
      <x:c r="K7" s="7" t="n">
        <x:f>J7-G7</x:f>
        <x:v>0</x:v>
      </x:c>
      <x:c r="L7" s="7" t="n">
        <x:f>IF(F7&gt;0,2,0)</x:f>
        <x:v>2</x:v>
      </x:c>
    </x:row>
    <x:row r="8" ht="30" customHeight="1">
      <x:c r="A8" s="12" t="n">
        <x:v>46281</x:v>
      </x:c>
      <x:c r="B8" s="7" t="str">
        <x:v>CNC-01</x:v>
      </x:c>
      <x:c r="C8" s="7" t="str">
        <x:v>PO-2608120 / SD-330</x:v>
      </x:c>
      <x:c r="D8" s="7" t="n">
        <x:v>200</x:v>
      </x:c>
      <x:c r="E8" s="7" t="n">
        <x:v>50</x:v>
      </x:c>
      <x:c r="F8" s="7" t="n">
        <x:v>60</x:v>
      </x:c>
      <x:c r="G8" s="7" t="n">
        <x:f>SUM(D8:F8)</x:f>
        <x:v>310</x:v>
      </x:c>
      <x:c r="H8" s="7" t="n">
        <x:f>'產能'!C2</x:f>
        <x:v>250</x:v>
      </x:c>
      <x:c r="I8" s="7" t="n">
        <x:f>'產能'!E2</x:f>
        <x:v>60</x:v>
      </x:c>
      <x:c r="J8" s="7" t="n">
        <x:f>H8+I8</x:f>
        <x:v>310</x:v>
      </x:c>
      <x:c r="K8" s="7" t="n">
        <x:f>J8-G8</x:f>
        <x:v>0</x:v>
      </x:c>
      <x:c r="L8" s="7" t="n">
        <x:f>IF(F8&gt;0,2,0)</x:f>
        <x:v>2</x:v>
      </x:c>
    </x:row>
    <x:row r="9" ht="30" customHeight="1">
      <x:c r="A9" s="12" t="n">
        <x:v>46281</x:v>
      </x:c>
      <x:c r="B9" s="7" t="str">
        <x:v>CNC-02</x:v>
      </x:c>
      <x:c r="C9" s="7" t="str">
        <x:v>PO-2609002 / SD-331</x:v>
      </x:c>
      <x:c r="D9" s="7" t="n">
        <x:v>200</x:v>
      </x:c>
      <x:c r="E9" s="7" t="n">
        <x:v>50</x:v>
      </x:c>
      <x:c r="F9" s="7" t="n">
        <x:v>60</x:v>
      </x:c>
      <x:c r="G9" s="7" t="n">
        <x:f>SUM(D9:F9)</x:f>
        <x:v>310</x:v>
      </x:c>
      <x:c r="H9" s="7" t="n">
        <x:f>'產能'!C2</x:f>
        <x:v>250</x:v>
      </x:c>
      <x:c r="I9" s="7" t="n">
        <x:f>'產能'!E2</x:f>
        <x:v>60</x:v>
      </x:c>
      <x:c r="J9" s="7" t="n">
        <x:f>H9+I9</x:f>
        <x:v>310</x:v>
      </x:c>
      <x:c r="K9" s="7" t="n">
        <x:f>J9-G9</x:f>
        <x:v>0</x:v>
      </x:c>
      <x:c r="L9" s="7" t="n">
        <x:f>IF(F9&gt;0,2,0)</x:f>
        <x:v>2</x:v>
      </x:c>
    </x:row>
    <x:row r="10" ht="30" customHeight="1">
      <x:c r="A10" s="12" t="n">
        <x:v>46281</x:v>
      </x:c>
      <x:c r="B10" s="7" t="str">
        <x:v>CNC-03</x:v>
      </x:c>
      <x:c r="C10" s="7" t="str"/>
      <x:c r="D10" s="7" t="n">
        <x:v>0</x:v>
      </x:c>
      <x:c r="E10" s="7" t="n">
        <x:v>250</x:v>
      </x:c>
      <x:c r="F10" s="7" t="n">
        <x:v>60</x:v>
      </x:c>
      <x:c r="G10" s="7" t="n">
        <x:f>SUM(D10:F10)</x:f>
        <x:v>310</x:v>
      </x:c>
      <x:c r="H10" s="7" t="n">
        <x:f>'產能'!C2</x:f>
        <x:v>250</x:v>
      </x:c>
      <x:c r="I10" s="7" t="n">
        <x:f>'產能'!E2</x:f>
        <x:v>60</x:v>
      </x:c>
      <x:c r="J10" s="7" t="n">
        <x:f>H10+I10</x:f>
        <x:v>310</x:v>
      </x:c>
      <x:c r="K10" s="7" t="n">
        <x:f>J10-G10</x:f>
        <x:v>0</x:v>
      </x:c>
      <x:c r="L10" s="7" t="n">
        <x:f>IF(F10&gt;0,2,0)</x:f>
        <x:v>2</x:v>
      </x:c>
    </x:row>
    <x:row r="11" ht="30" customHeight="1">
      <x:c r="A11" s="12" t="n">
        <x:v>46282</x:v>
      </x:c>
      <x:c r="B11" s="7" t="str">
        <x:v>CNC-01</x:v>
      </x:c>
      <x:c r="C11" s="7" t="str">
        <x:v>PO-2608120 / SD-330</x:v>
      </x:c>
      <x:c r="D11" s="7" t="n">
        <x:v>200</x:v>
      </x:c>
      <x:c r="E11" s="7" t="n">
        <x:v>50</x:v>
      </x:c>
      <x:c r="F11" s="7" t="n">
        <x:v>60</x:v>
      </x:c>
      <x:c r="G11" s="7" t="n">
        <x:f>SUM(D11:F11)</x:f>
        <x:v>310</x:v>
      </x:c>
      <x:c r="H11" s="7" t="n">
        <x:f>'產能'!C2</x:f>
        <x:v>250</x:v>
      </x:c>
      <x:c r="I11" s="7" t="n">
        <x:f>'產能'!E2</x:f>
        <x:v>60</x:v>
      </x:c>
      <x:c r="J11" s="7" t="n">
        <x:f>H11+I11</x:f>
        <x:v>310</x:v>
      </x:c>
      <x:c r="K11" s="7" t="n">
        <x:f>J11-G11</x:f>
        <x:v>0</x:v>
      </x:c>
      <x:c r="L11" s="7" t="n">
        <x:f>IF(F11&gt;0,2,0)</x:f>
        <x:v>2</x:v>
      </x:c>
    </x:row>
    <x:row r="12" ht="30" customHeight="1">
      <x:c r="A12" s="12" t="n">
        <x:v>46282</x:v>
      </x:c>
      <x:c r="B12" s="7" t="str">
        <x:v>CNC-02</x:v>
      </x:c>
      <x:c r="C12" s="7" t="str"/>
      <x:c r="D12" s="7" t="n">
        <x:v>0</x:v>
      </x:c>
      <x:c r="E12" s="7" t="n">
        <x:v>250</x:v>
      </x:c>
      <x:c r="F12" s="7" t="n">
        <x:v>60</x:v>
      </x:c>
      <x:c r="G12" s="7" t="n">
        <x:f>SUM(D12:F12)</x:f>
        <x:v>310</x:v>
      </x:c>
      <x:c r="H12" s="7" t="n">
        <x:f>'產能'!C2</x:f>
        <x:v>250</x:v>
      </x:c>
      <x:c r="I12" s="7" t="n">
        <x:f>'產能'!E2</x:f>
        <x:v>60</x:v>
      </x:c>
      <x:c r="J12" s="7" t="n">
        <x:f>H12+I12</x:f>
        <x:v>310</x:v>
      </x:c>
      <x:c r="K12" s="7" t="n">
        <x:f>J12-G12</x:f>
        <x:v>0</x:v>
      </x:c>
      <x:c r="L12" s="7" t="n">
        <x:f>IF(F12&gt;0,2,0)</x:f>
        <x:v>2</x:v>
      </x:c>
    </x:row>
    <x:row r="13" ht="30" customHeight="1">
      <x:c r="A13" s="12" t="n">
        <x:v>46282</x:v>
      </x:c>
      <x:c r="B13" s="7" t="str">
        <x:v>CNC-03</x:v>
      </x:c>
      <x:c r="C13" s="7" t="str"/>
      <x:c r="D13" s="7" t="n">
        <x:v>0</x:v>
      </x:c>
      <x:c r="E13" s="7" t="n">
        <x:v>225</x:v>
      </x:c>
      <x:c r="F13" s="7" t="n">
        <x:v>60</x:v>
      </x:c>
      <x:c r="G13" s="7" t="n">
        <x:f>SUM(D13:F13)</x:f>
        <x:v>285</x:v>
      </x:c>
      <x:c r="H13" s="7" t="n">
        <x:f>'產能'!C2</x:f>
        <x:v>250</x:v>
      </x:c>
      <x:c r="I13" s="7" t="n">
        <x:f>'產能'!E2</x:f>
        <x:v>60</x:v>
      </x:c>
      <x:c r="J13" s="7" t="n">
        <x:f>H13+I13</x:f>
        <x:v>310</x:v>
      </x:c>
      <x:c r="K13" s="7" t="n">
        <x:f>J13-G13</x:f>
        <x:v>25</x:v>
      </x:c>
      <x:c r="L13" s="7" t="n">
        <x:f>IF(F13&gt;0,2,0)</x:f>
        <x:v>2</x:v>
      </x:c>
    </x:row>
    <x:row r="14" ht="30" customHeight="1">
      <x:c r="A14" s="12" t="n">
        <x:v>46283</x:v>
      </x:c>
      <x:c r="B14" s="7" t="str">
        <x:v>CNC-01</x:v>
      </x:c>
      <x:c r="C14" s="7" t="str">
        <x:v>PO-2608120 / SD-330</x:v>
      </x:c>
      <x:c r="D14" s="7" t="n">
        <x:v>200</x:v>
      </x:c>
      <x:c r="E14" s="7" t="n">
        <x:v>50</x:v>
      </x:c>
      <x:c r="F14" s="7" t="n">
        <x:v>60</x:v>
      </x:c>
      <x:c r="G14" s="7" t="n">
        <x:f>SUM(D14:F14)</x:f>
        <x:v>310</x:v>
      </x:c>
      <x:c r="H14" s="7" t="n">
        <x:f>'產能'!C2</x:f>
        <x:v>250</x:v>
      </x:c>
      <x:c r="I14" s="7" t="n">
        <x:f>'產能'!E2</x:f>
        <x:v>60</x:v>
      </x:c>
      <x:c r="J14" s="7" t="n">
        <x:f>H14+I14</x:f>
        <x:v>310</x:v>
      </x:c>
      <x:c r="K14" s="7" t="n">
        <x:f>J14-G14</x:f>
        <x:v>0</x:v>
      </x:c>
      <x:c r="L14" s="7" t="n">
        <x:f>IF(F14&gt;0,2,0)</x:f>
        <x:v>2</x:v>
      </x:c>
    </x:row>
    <x:row r="15" ht="30" customHeight="1">
      <x:c r="A15" s="12" t="n">
        <x:v>46283</x:v>
      </x:c>
      <x:c r="B15" s="7" t="str">
        <x:v>CNC-02</x:v>
      </x:c>
      <x:c r="C15" s="7" t="str"/>
      <x:c r="D15" s="7" t="n">
        <x:v>0</x:v>
      </x:c>
      <x:c r="E15" s="7" t="n">
        <x:v>250</x:v>
      </x:c>
      <x:c r="F15" s="7" t="n">
        <x:v>60</x:v>
      </x:c>
      <x:c r="G15" s="7" t="n">
        <x:f>SUM(D15:F15)</x:f>
        <x:v>310</x:v>
      </x:c>
      <x:c r="H15" s="7" t="n">
        <x:f>'產能'!C2</x:f>
        <x:v>250</x:v>
      </x:c>
      <x:c r="I15" s="7" t="n">
        <x:f>'產能'!E2</x:f>
        <x:v>60</x:v>
      </x:c>
      <x:c r="J15" s="7" t="n">
        <x:f>H15+I15</x:f>
        <x:v>310</x:v>
      </x:c>
      <x:c r="K15" s="7" t="n">
        <x:f>J15-G15</x:f>
        <x:v>0</x:v>
      </x:c>
      <x:c r="L15" s="7" t="n">
        <x:f>IF(F15&gt;0,2,0)</x:f>
        <x:v>2</x:v>
      </x:c>
    </x:row>
    <x:row r="16" ht="30" customHeight="1">
      <x:c r="A16" s="12" t="n">
        <x:v>46283</x:v>
      </x:c>
      <x:c r="B16" s="7" t="str">
        <x:v>CNC-03</x:v>
      </x:c>
      <x:c r="C16" s="7" t="str"/>
      <x:c r="D16" s="7" t="n">
        <x:v>0</x:v>
      </x:c>
      <x:c r="E16" s="7" t="n">
        <x:v>225</x:v>
      </x:c>
      <x:c r="F16" s="7" t="n">
        <x:v>60</x:v>
      </x:c>
      <x:c r="G16" s="7" t="n">
        <x:f>SUM(D16:F16)</x:f>
        <x:v>285</x:v>
      </x:c>
      <x:c r="H16" s="7" t="n">
        <x:f>'產能'!C2</x:f>
        <x:v>250</x:v>
      </x:c>
      <x:c r="I16" s="7" t="n">
        <x:f>'產能'!E2</x:f>
        <x:v>60</x:v>
      </x:c>
      <x:c r="J16" s="7" t="n">
        <x:f>H16+I16</x:f>
        <x:v>310</x:v>
      </x:c>
      <x:c r="K16" s="7" t="n">
        <x:f>J16-G16</x:f>
        <x:v>25</x:v>
      </x:c>
      <x:c r="L16" s="7" t="n">
        <x:f>IF(F16&gt;0,2,0)</x:f>
        <x:v>2</x:v>
      </x:c>
    </x:row>
    <x:row r="17" ht="30" customHeight="1">
      <x:c r="A17" s="12" t="n">
        <x:v>46286</x:v>
      </x:c>
      <x:c r="B17" s="7" t="str">
        <x:v>CNC-01</x:v>
      </x:c>
      <x:c r="C17" s="7" t="str">
        <x:v>PO-2609005 / DC-1120</x:v>
      </x:c>
      <x:c r="D17" s="7" t="n">
        <x:v>200</x:v>
      </x:c>
      <x:c r="E17" s="7" t="n">
        <x:v>0</x:v>
      </x:c>
      <x:c r="F17" s="7" t="n">
        <x:v>0</x:v>
      </x:c>
      <x:c r="G17" s="7" t="n">
        <x:f>SUM(D17:F17)</x:f>
        <x:v>200</x:v>
      </x:c>
      <x:c r="H17" s="7" t="n">
        <x:f>'產能'!C2</x:f>
        <x:v>250</x:v>
      </x:c>
      <x:c r="I17" s="7" t="n">
        <x:v>0</x:v>
      </x:c>
      <x:c r="J17" s="7" t="n">
        <x:f>H17+I17</x:f>
        <x:v>250</x:v>
      </x:c>
      <x:c r="K17" s="7" t="n">
        <x:f>J17-G17</x:f>
        <x:v>50</x:v>
      </x:c>
      <x:c r="L17" s="7" t="n">
        <x:f>IF(F17&gt;0,2,0)</x:f>
        <x:v>0</x:v>
      </x:c>
    </x:row>
    <x:row r="18" ht="30" customHeight="1">
      <x:c r="A18" s="12" t="n">
        <x:v>46286</x:v>
      </x:c>
      <x:c r="B18" s="7" t="str">
        <x:v>CNC-02</x:v>
      </x:c>
      <x:c r="C18" s="7" t="str"/>
      <x:c r="D18" s="7" t="n">
        <x:v>0</x:v>
      </x:c>
      <x:c r="E18" s="7" t="n">
        <x:v>0</x:v>
      </x:c>
      <x:c r="F18" s="7" t="n">
        <x:v>0</x:v>
      </x:c>
      <x:c r="G18" s="7" t="n">
        <x:f>SUM(D18:F18)</x:f>
        <x:v>0</x:v>
      </x:c>
      <x:c r="H18" s="7" t="n">
        <x:f>'產能'!C3</x:f>
        <x:v>150</x:v>
      </x:c>
      <x:c r="I18" s="7" t="n">
        <x:v>0</x:v>
      </x:c>
      <x:c r="J18" s="7" t="n">
        <x:f>H18+I18</x:f>
        <x:v>150</x:v>
      </x:c>
      <x:c r="K18" s="7" t="n">
        <x:f>J18-G18</x:f>
        <x:v>150</x:v>
      </x:c>
      <x:c r="L18" s="7" t="n">
        <x:f>IF(F18&gt;0,2,0)</x:f>
        <x:v>0</x:v>
      </x:c>
    </x:row>
    <x:row r="19" ht="30" customHeight="1">
      <x:c r="A19" s="12" t="n">
        <x:v>46286</x:v>
      </x:c>
      <x:c r="B19" s="7" t="str">
        <x:v>CNC-03</x:v>
      </x:c>
      <x:c r="C19" s="7" t="str"/>
      <x:c r="D19" s="7" t="n">
        <x:v>0</x:v>
      </x:c>
      <x:c r="E19" s="7" t="n">
        <x:v>0</x:v>
      </x:c>
      <x:c r="F19" s="7" t="n">
        <x:v>0</x:v>
      </x:c>
      <x:c r="G19" s="7" t="n">
        <x:f>SUM(D19:F19)</x:f>
        <x:v>0</x:v>
      </x:c>
      <x:c r="H19" s="7" t="n">
        <x:f>'產能'!C2</x:f>
        <x:v>250</x:v>
      </x:c>
      <x:c r="I19" s="7" t="n">
        <x:v>0</x:v>
      </x:c>
      <x:c r="J19" s="7" t="n">
        <x:f>H19+I19</x:f>
        <x:v>250</x:v>
      </x:c>
      <x:c r="K19" s="7" t="n">
        <x:f>J19-G19</x:f>
        <x:v>250</x:v>
      </x:c>
      <x:c r="L19" s="7" t="n">
        <x:f>IF(F19&gt;0,2,0)</x:f>
        <x:v>0</x:v>
      </x:c>
    </x:row>
    <x:row r="20" ht="30" customHeight="1">
      <x:c r="A20" s="12" t="n">
        <x:v>46287</x:v>
      </x:c>
      <x:c r="B20" s="7" t="str">
        <x:v>CNC-01</x:v>
      </x:c>
      <x:c r="C20" s="7" t="str">
        <x:v>PO-2609005 / DC-1120</x:v>
      </x:c>
      <x:c r="D20" s="7" t="n">
        <x:v>200</x:v>
      </x:c>
      <x:c r="E20" s="7" t="n">
        <x:v>0</x:v>
      </x:c>
      <x:c r="F20" s="7" t="n">
        <x:v>0</x:v>
      </x:c>
      <x:c r="G20" s="7" t="n">
        <x:f>SUM(D20:F20)</x:f>
        <x:v>200</x:v>
      </x:c>
      <x:c r="H20" s="7" t="n">
        <x:f>'產能'!C2</x:f>
        <x:v>250</x:v>
      </x:c>
      <x:c r="I20" s="7" t="n">
        <x:v>0</x:v>
      </x:c>
      <x:c r="J20" s="7" t="n">
        <x:f>H20+I20</x:f>
        <x:v>250</x:v>
      </x:c>
      <x:c r="K20" s="7" t="n">
        <x:f>J20-G20</x:f>
        <x:v>50</x:v>
      </x:c>
      <x:c r="L20" s="7" t="n">
        <x:f>IF(F20&gt;0,2,0)</x:f>
        <x:v>0</x:v>
      </x:c>
    </x:row>
    <x:row r="21" ht="30" customHeight="1">
      <x:c r="A21" s="12" t="n">
        <x:v>46287</x:v>
      </x:c>
      <x:c r="B21" s="7" t="str">
        <x:v>CNC-02</x:v>
      </x:c>
      <x:c r="C21" s="7" t="str"/>
      <x:c r="D21" s="7" t="n">
        <x:v>0</x:v>
      </x:c>
      <x:c r="E21" s="7" t="n">
        <x:v>0</x:v>
      </x:c>
      <x:c r="F21" s="7" t="n">
        <x:v>0</x:v>
      </x:c>
      <x:c r="G21" s="7" t="n">
        <x:f>SUM(D21:F21)</x:f>
        <x:v>0</x:v>
      </x:c>
      <x:c r="H21" s="7" t="n">
        <x:f>'產能'!C3</x:f>
        <x:v>150</x:v>
      </x:c>
      <x:c r="I21" s="7" t="n">
        <x:v>0</x:v>
      </x:c>
      <x:c r="J21" s="7" t="n">
        <x:f>H21+I21</x:f>
        <x:v>150</x:v>
      </x:c>
      <x:c r="K21" s="7" t="n">
        <x:f>J21-G21</x:f>
        <x:v>150</x:v>
      </x:c>
      <x:c r="L21" s="7" t="n">
        <x:f>IF(F21&gt;0,2,0)</x:f>
        <x:v>0</x:v>
      </x:c>
    </x:row>
    <x:row r="22" ht="30" customHeight="1">
      <x:c r="A22" s="12" t="n">
        <x:v>46287</x:v>
      </x:c>
      <x:c r="B22" s="7" t="str">
        <x:v>CNC-03</x:v>
      </x:c>
      <x:c r="C22" s="7" t="str">
        <x:v>PO-2609011 / HD-770</x:v>
      </x:c>
      <x:c r="D22" s="7" t="n">
        <x:v>250</x:v>
      </x:c>
      <x:c r="E22" s="7" t="n">
        <x:v>0</x:v>
      </x:c>
      <x:c r="F22" s="7" t="n">
        <x:v>0</x:v>
      </x:c>
      <x:c r="G22" s="7" t="n">
        <x:f>SUM(D22:F22)</x:f>
        <x:v>250</x:v>
      </x:c>
      <x:c r="H22" s="7" t="n">
        <x:f>'產能'!C2</x:f>
        <x:v>250</x:v>
      </x:c>
      <x:c r="I22" s="7" t="n">
        <x:v>0</x:v>
      </x:c>
      <x:c r="J22" s="7" t="n">
        <x:f>H22+I22</x:f>
        <x:v>250</x:v>
      </x:c>
      <x:c r="K22" s="7" t="n">
        <x:f>J22-G22</x:f>
        <x:v>0</x:v>
      </x:c>
      <x:c r="L22" s="7" t="n">
        <x:f>IF(F22&gt;0,2,0)</x:f>
        <x:v>0</x:v>
      </x:c>
    </x:row>
    <x:row r="23" ht="30" customHeight="1">
      <x:c r="A23" s="12" t="n">
        <x:v>46288</x:v>
      </x:c>
      <x:c r="B23" s="7" t="str">
        <x:v>CNC-01</x:v>
      </x:c>
      <x:c r="C23" s="7" t="str">
        <x:v>PO-2609005 / DC-1120</x:v>
      </x:c>
      <x:c r="D23" s="7" t="n">
        <x:v>200</x:v>
      </x:c>
      <x:c r="E23" s="7" t="n">
        <x:v>0</x:v>
      </x:c>
      <x:c r="F23" s="7" t="n">
        <x:v>0</x:v>
      </x:c>
      <x:c r="G23" s="7" t="n">
        <x:f>SUM(D23:F23)</x:f>
        <x:v>200</x:v>
      </x:c>
      <x:c r="H23" s="7" t="n">
        <x:f>'產能'!C2</x:f>
        <x:v>250</x:v>
      </x:c>
      <x:c r="I23" s="7" t="n">
        <x:v>0</x:v>
      </x:c>
      <x:c r="J23" s="7" t="n">
        <x:f>H23+I23</x:f>
        <x:v>250</x:v>
      </x:c>
      <x:c r="K23" s="7" t="n">
        <x:f>J23-G23</x:f>
        <x:v>50</x:v>
      </x:c>
      <x:c r="L23" s="7" t="n">
        <x:f>IF(F23&gt;0,2,0)</x:f>
        <x:v>0</x:v>
      </x:c>
    </x:row>
    <x:row r="24" ht="30" customHeight="1">
      <x:c r="A24" s="12" t="n">
        <x:v>46288</x:v>
      </x:c>
      <x:c r="B24" s="7" t="str">
        <x:v>CNC-02</x:v>
      </x:c>
      <x:c r="C24" s="7" t="str"/>
      <x:c r="D24" s="7" t="n">
        <x:v>0</x:v>
      </x:c>
      <x:c r="E24" s="7" t="n">
        <x:v>0</x:v>
      </x:c>
      <x:c r="F24" s="7" t="n">
        <x:v>0</x:v>
      </x:c>
      <x:c r="G24" s="7" t="n">
        <x:f>SUM(D24:F24)</x:f>
        <x:v>0</x:v>
      </x:c>
      <x:c r="H24" s="7" t="n">
        <x:f>'產能'!C3</x:f>
        <x:v>150</x:v>
      </x:c>
      <x:c r="I24" s="7" t="n">
        <x:v>0</x:v>
      </x:c>
      <x:c r="J24" s="7" t="n">
        <x:f>H24+I24</x:f>
        <x:v>150</x:v>
      </x:c>
      <x:c r="K24" s="7" t="n">
        <x:f>J24-G24</x:f>
        <x:v>150</x:v>
      </x:c>
      <x:c r="L24" s="7" t="n">
        <x:f>IF(F24&gt;0,2,0)</x:f>
        <x:v>0</x:v>
      </x:c>
    </x:row>
    <x:row r="25" ht="30" customHeight="1">
      <x:c r="A25" s="12" t="n">
        <x:v>46288</x:v>
      </x:c>
      <x:c r="B25" s="7" t="str">
        <x:v>CNC-03</x:v>
      </x:c>
      <x:c r="C25" s="7" t="str">
        <x:v>PO-2609011 / HD-770</x:v>
      </x:c>
      <x:c r="D25" s="7" t="n">
        <x:v>250</x:v>
      </x:c>
      <x:c r="E25" s="7" t="n">
        <x:v>0</x:v>
      </x:c>
      <x:c r="F25" s="7" t="n">
        <x:v>0</x:v>
      </x:c>
      <x:c r="G25" s="7" t="n">
        <x:f>SUM(D25:F25)</x:f>
        <x:v>250</x:v>
      </x:c>
      <x:c r="H25" s="7" t="n">
        <x:f>'產能'!C2</x:f>
        <x:v>250</x:v>
      </x:c>
      <x:c r="I25" s="7" t="n">
        <x:v>0</x:v>
      </x:c>
      <x:c r="J25" s="7" t="n">
        <x:f>H25+I25</x:f>
        <x:v>250</x:v>
      </x:c>
      <x:c r="K25" s="7" t="n">
        <x:f>J25-G25</x:f>
        <x:v>0</x:v>
      </x:c>
      <x:c r="L25" s="7" t="n">
        <x:f>IF(F25&gt;0,2,0)</x:f>
        <x:v>0</x:v>
      </x:c>
    </x:row>
    <x:row r="26" ht="30" customHeight="1">
      <x:c r="A26" s="12" t="n">
        <x:v>46289</x:v>
      </x:c>
      <x:c r="B26" s="7" t="str">
        <x:v>CNC-01</x:v>
      </x:c>
      <x:c r="C26" s="7" t="str">
        <x:v>PO-2609005 / DC-1120</x:v>
      </x:c>
      <x:c r="D26" s="7" t="n">
        <x:v>200</x:v>
      </x:c>
      <x:c r="E26" s="7" t="n">
        <x:v>0</x:v>
      </x:c>
      <x:c r="F26" s="7" t="n">
        <x:v>0</x:v>
      </x:c>
      <x:c r="G26" s="7" t="n">
        <x:f>SUM(D26:F26)</x:f>
        <x:v>200</x:v>
      </x:c>
      <x:c r="H26" s="7" t="n">
        <x:f>'產能'!C2</x:f>
        <x:v>250</x:v>
      </x:c>
      <x:c r="I26" s="7" t="n">
        <x:v>0</x:v>
      </x:c>
      <x:c r="J26" s="7" t="n">
        <x:f>H26+I26</x:f>
        <x:v>250</x:v>
      </x:c>
      <x:c r="K26" s="7" t="n">
        <x:f>J26-G26</x:f>
        <x:v>50</x:v>
      </x:c>
      <x:c r="L26" s="7" t="n">
        <x:f>IF(F26&gt;0,2,0)</x:f>
        <x:v>0</x:v>
      </x:c>
    </x:row>
    <x:row r="27" ht="30" customHeight="1">
      <x:c r="A27" s="12" t="n">
        <x:v>46289</x:v>
      </x:c>
      <x:c r="B27" s="7" t="str">
        <x:v>CNC-02</x:v>
      </x:c>
      <x:c r="C27" s="7" t="str"/>
      <x:c r="D27" s="7" t="n">
        <x:v>0</x:v>
      </x:c>
      <x:c r="E27" s="7" t="n">
        <x:v>0</x:v>
      </x:c>
      <x:c r="F27" s="7" t="n">
        <x:v>0</x:v>
      </x:c>
      <x:c r="G27" s="7" t="n">
        <x:f>SUM(D27:F27)</x:f>
        <x:v>0</x:v>
      </x:c>
      <x:c r="H27" s="7" t="n">
        <x:f>'產能'!C3</x:f>
        <x:v>150</x:v>
      </x:c>
      <x:c r="I27" s="7" t="n">
        <x:v>0</x:v>
      </x:c>
      <x:c r="J27" s="7" t="n">
        <x:f>H27+I27</x:f>
        <x:v>150</x:v>
      </x:c>
      <x:c r="K27" s="7" t="n">
        <x:f>J27-G27</x:f>
        <x:v>150</x:v>
      </x:c>
      <x:c r="L27" s="7" t="n">
        <x:f>IF(F27&gt;0,2,0)</x:f>
        <x:v>0</x:v>
      </x:c>
    </x:row>
    <x:row r="28" ht="30" customHeight="1">
      <x:c r="A28" s="12" t="n">
        <x:v>46289</x:v>
      </x:c>
      <x:c r="B28" s="7" t="str">
        <x:v>CNC-03</x:v>
      </x:c>
      <x:c r="C28" s="7" t="str"/>
      <x:c r="D28" s="7" t="n">
        <x:v>0</x:v>
      </x:c>
      <x:c r="E28" s="7" t="n">
        <x:v>0</x:v>
      </x:c>
      <x:c r="F28" s="7" t="n">
        <x:v>0</x:v>
      </x:c>
      <x:c r="G28" s="7" t="n">
        <x:f>SUM(D28:F28)</x:f>
        <x:v>0</x:v>
      </x:c>
      <x:c r="H28" s="7" t="n">
        <x:f>'產能'!C2</x:f>
        <x:v>250</x:v>
      </x:c>
      <x:c r="I28" s="7" t="n">
        <x:v>0</x:v>
      </x:c>
      <x:c r="J28" s="7" t="n">
        <x:f>H28+I28</x:f>
        <x:v>250</x:v>
      </x:c>
      <x:c r="K28" s="7" t="n">
        <x:f>J28-G28</x:f>
        <x:v>250</x:v>
      </x:c>
      <x:c r="L28" s="7" t="n">
        <x:f>IF(F28&gt;0,2,0)</x:f>
        <x:v>0</x:v>
      </x:c>
    </x:row>
    <x:row r="29" ht="30" customHeight="1">
      <x:c r="A29" s="12" t="n">
        <x:v>46294</x:v>
      </x:c>
      <x:c r="B29" s="7" t="str">
        <x:v>CNC-01</x:v>
      </x:c>
      <x:c r="C29" s="7" t="str"/>
      <x:c r="D29" s="7" t="n">
        <x:v>0</x:v>
      </x:c>
      <x:c r="E29" s="7" t="n">
        <x:v>0</x:v>
      </x:c>
      <x:c r="F29" s="7" t="n">
        <x:v>0</x:v>
      </x:c>
      <x:c r="G29" s="7" t="n">
        <x:f>SUM(D29:F29)</x:f>
        <x:v>0</x:v>
      </x:c>
      <x:c r="H29" s="7" t="n">
        <x:f>'產能'!C2</x:f>
        <x:v>250</x:v>
      </x:c>
      <x:c r="I29" s="7" t="n">
        <x:v>0</x:v>
      </x:c>
      <x:c r="J29" s="7" t="n">
        <x:f>H29+I29</x:f>
        <x:v>250</x:v>
      </x:c>
      <x:c r="K29" s="7" t="n">
        <x:f>J29-G29</x:f>
        <x:v>250</x:v>
      </x:c>
      <x:c r="L29" s="7" t="n">
        <x:f>IF(F29&gt;0,2,0)</x:f>
        <x:v>0</x:v>
      </x:c>
    </x:row>
    <x:row r="30" ht="30" customHeight="1">
      <x:c r="A30" s="12" t="n">
        <x:v>46294</x:v>
      </x:c>
      <x:c r="B30" s="7" t="str">
        <x:v>CNC-02</x:v>
      </x:c>
      <x:c r="C30" s="7" t="str"/>
      <x:c r="D30" s="7" t="n">
        <x:v>0</x:v>
      </x:c>
      <x:c r="E30" s="7" t="n">
        <x:v>0</x:v>
      </x:c>
      <x:c r="F30" s="7" t="n">
        <x:v>0</x:v>
      </x:c>
      <x:c r="G30" s="7" t="n">
        <x:f>SUM(D30:F30)</x:f>
        <x:v>0</x:v>
      </x:c>
      <x:c r="H30" s="7" t="n">
        <x:f>'產能'!C2</x:f>
        <x:v>250</x:v>
      </x:c>
      <x:c r="I30" s="7" t="n">
        <x:v>0</x:v>
      </x:c>
      <x:c r="J30" s="7" t="n">
        <x:f>H30+I30</x:f>
        <x:v>250</x:v>
      </x:c>
      <x:c r="K30" s="7" t="n">
        <x:f>J30-G30</x:f>
        <x:v>250</x:v>
      </x:c>
      <x:c r="L30" s="7" t="n">
        <x:f>IF(F30&gt;0,2,0)</x:f>
        <x:v>0</x:v>
      </x:c>
    </x:row>
    <x:row r="31" ht="30" customHeight="1">
      <x:c r="A31" s="12" t="n">
        <x:v>46294</x:v>
      </x:c>
      <x:c r="B31" s="7" t="str">
        <x:v>CNC-03</x:v>
      </x:c>
      <x:c r="C31" s="7" t="str"/>
      <x:c r="D31" s="7" t="n">
        <x:v>0</x:v>
      </x:c>
      <x:c r="E31" s="7" t="n">
        <x:v>0</x:v>
      </x:c>
      <x:c r="F31" s="7" t="n">
        <x:v>0</x:v>
      </x:c>
      <x:c r="G31" s="7" t="n">
        <x:f>SUM(D31:F31)</x:f>
        <x:v>0</x:v>
      </x:c>
      <x:c r="H31" s="7" t="n">
        <x:f>'產能'!C2</x:f>
        <x:v>250</x:v>
      </x:c>
      <x:c r="I31" s="7" t="n">
        <x:v>0</x:v>
      </x:c>
      <x:c r="J31" s="7" t="n">
        <x:f>H31+I31</x:f>
        <x:v>250</x:v>
      </x:c>
      <x:c r="K31" s="7" t="n">
        <x:f>J31-G31</x:f>
        <x:v>250</x:v>
      </x:c>
      <x:c r="L31" s="7" t="n">
        <x:f>IF(F31&gt;0,2,0)</x:f>
        <x:v>0</x:v>
      </x:c>
    </x:row>
    <x:row r="32" ht="30" customHeight="1">
      <x:c r="A32" s="12" t="n">
        <x:v>46295</x:v>
      </x:c>
      <x:c r="B32" s="7" t="str">
        <x:v>CNC-01</x:v>
      </x:c>
      <x:c r="C32" s="7" t="str"/>
      <x:c r="D32" s="7" t="n">
        <x:v>0</x:v>
      </x:c>
      <x:c r="E32" s="7" t="n">
        <x:v>0</x:v>
      </x:c>
      <x:c r="F32" s="7" t="n">
        <x:v>0</x:v>
      </x:c>
      <x:c r="G32" s="7" t="n">
        <x:f>SUM(D32:F32)</x:f>
        <x:v>0</x:v>
      </x:c>
      <x:c r="H32" s="7" t="n">
        <x:f>'產能'!C2</x:f>
        <x:v>250</x:v>
      </x:c>
      <x:c r="I32" s="7" t="n">
        <x:v>0</x:v>
      </x:c>
      <x:c r="J32" s="7" t="n">
        <x:f>H32+I32</x:f>
        <x:v>250</x:v>
      </x:c>
      <x:c r="K32" s="7" t="n">
        <x:f>J32-G32</x:f>
        <x:v>250</x:v>
      </x:c>
      <x:c r="L32" s="7" t="n">
        <x:f>IF(F32&gt;0,2,0)</x:f>
        <x:v>0</x:v>
      </x:c>
    </x:row>
    <x:row r="33" ht="30" customHeight="1">
      <x:c r="A33" s="12" t="n">
        <x:v>46295</x:v>
      </x:c>
      <x:c r="B33" s="7" t="str">
        <x:v>CNC-02</x:v>
      </x:c>
      <x:c r="C33" s="7" t="str"/>
      <x:c r="D33" s="7" t="n">
        <x:v>0</x:v>
      </x:c>
      <x:c r="E33" s="7" t="n">
        <x:v>0</x:v>
      </x:c>
      <x:c r="F33" s="7" t="n">
        <x:v>0</x:v>
      </x:c>
      <x:c r="G33" s="7" t="n">
        <x:f>SUM(D33:F33)</x:f>
        <x:v>0</x:v>
      </x:c>
      <x:c r="H33" s="7" t="n">
        <x:f>'產能'!C2</x:f>
        <x:v>250</x:v>
      </x:c>
      <x:c r="I33" s="7" t="n">
        <x:v>0</x:v>
      </x:c>
      <x:c r="J33" s="7" t="n">
        <x:f>H33+I33</x:f>
        <x:v>250</x:v>
      </x:c>
      <x:c r="K33" s="7" t="n">
        <x:f>J33-G33</x:f>
        <x:v>250</x:v>
      </x:c>
      <x:c r="L33" s="7" t="n">
        <x:f>IF(F33&gt;0,2,0)</x:f>
        <x:v>0</x:v>
      </x:c>
    </x:row>
    <x:row r="34" ht="30" customHeight="1">
      <x:c r="A34" s="12" t="n">
        <x:v>46295</x:v>
      </x:c>
      <x:c r="B34" s="7" t="str">
        <x:v>CNC-03</x:v>
      </x:c>
      <x:c r="C34" s="7" t="str"/>
      <x:c r="D34" s="7" t="n">
        <x:v>0</x:v>
      </x:c>
      <x:c r="E34" s="7" t="n">
        <x:v>0</x:v>
      </x:c>
      <x:c r="F34" s="7" t="n">
        <x:v>0</x:v>
      </x:c>
      <x:c r="G34" s="7" t="n">
        <x:f>SUM(D34:F34)</x:f>
        <x:v>0</x:v>
      </x:c>
      <x:c r="H34" s="7" t="n">
        <x:f>'產能'!C2</x:f>
        <x:v>250</x:v>
      </x:c>
      <x:c r="I34" s="7" t="n">
        <x:v>0</x:v>
      </x:c>
      <x:c r="J34" s="7" t="n">
        <x:f>H34+I34</x:f>
        <x:v>250</x:v>
      </x:c>
      <x:c r="K34" s="7" t="n">
        <x:f>J34-G34</x:f>
        <x:v>250</x:v>
      </x:c>
      <x:c r="L34" s="7" t="n">
        <x:f>IF(F34&gt;0,2,0)</x:f>
        <x:v>0</x:v>
      </x:c>
    </x:row>
    <x:row r="35" ht="30" customHeight="1">
      <x:c r="A35" s="12" t="n">
        <x:v>46296</x:v>
      </x:c>
      <x:c r="B35" s="7" t="str">
        <x:v>CNC-01</x:v>
      </x:c>
      <x:c r="C35" s="7" t="str"/>
      <x:c r="D35" s="7" t="n">
        <x:v>0</x:v>
      </x:c>
      <x:c r="E35" s="7" t="n">
        <x:v>0</x:v>
      </x:c>
      <x:c r="F35" s="7" t="n">
        <x:v>0</x:v>
      </x:c>
      <x:c r="G35" s="7" t="n">
        <x:f>SUM(D35:F35)</x:f>
        <x:v>0</x:v>
      </x:c>
      <x:c r="H35" s="7" t="n">
        <x:f>'產能'!C2</x:f>
        <x:v>250</x:v>
      </x:c>
      <x:c r="I35" s="7" t="n">
        <x:v>0</x:v>
      </x:c>
      <x:c r="J35" s="7" t="n">
        <x:f>H35+I35</x:f>
        <x:v>250</x:v>
      </x:c>
      <x:c r="K35" s="7" t="n">
        <x:f>J35-G35</x:f>
        <x:v>250</x:v>
      </x:c>
      <x:c r="L35" s="7" t="n">
        <x:f>IF(F35&gt;0,2,0)</x:f>
        <x:v>0</x:v>
      </x:c>
    </x:row>
    <x:row r="36" ht="30" customHeight="1">
      <x:c r="A36" s="12" t="n">
        <x:v>46296</x:v>
      </x:c>
      <x:c r="B36" s="7" t="str">
        <x:v>CNC-02</x:v>
      </x:c>
      <x:c r="C36" s="7" t="str"/>
      <x:c r="D36" s="7" t="n">
        <x:v>0</x:v>
      </x:c>
      <x:c r="E36" s="7" t="n">
        <x:v>0</x:v>
      </x:c>
      <x:c r="F36" s="7" t="n">
        <x:v>0</x:v>
      </x:c>
      <x:c r="G36" s="7" t="n">
        <x:f>SUM(D36:F36)</x:f>
        <x:v>0</x:v>
      </x:c>
      <x:c r="H36" s="7" t="n">
        <x:f>'產能'!C2</x:f>
        <x:v>250</x:v>
      </x:c>
      <x:c r="I36" s="7" t="n">
        <x:v>0</x:v>
      </x:c>
      <x:c r="J36" s="7" t="n">
        <x:f>H36+I36</x:f>
        <x:v>250</x:v>
      </x:c>
      <x:c r="K36" s="7" t="n">
        <x:f>J36-G36</x:f>
        <x:v>250</x:v>
      </x:c>
      <x:c r="L36" s="7" t="n">
        <x:f>IF(F36&gt;0,2,0)</x:f>
        <x:v>0</x:v>
      </x:c>
    </x:row>
    <x:row r="37" ht="30" customHeight="1">
      <x:c r="A37" s="12" t="n">
        <x:v>46296</x:v>
      </x:c>
      <x:c r="B37" s="7" t="str">
        <x:v>CNC-03</x:v>
      </x:c>
      <x:c r="C37" s="7" t="str"/>
      <x:c r="D37" s="7" t="n">
        <x:v>0</x:v>
      </x:c>
      <x:c r="E37" s="7" t="n">
        <x:v>0</x:v>
      </x:c>
      <x:c r="F37" s="7" t="n">
        <x:v>0</x:v>
      </x:c>
      <x:c r="G37" s="7" t="n">
        <x:f>SUM(D37:F37)</x:f>
        <x:v>0</x:v>
      </x:c>
      <x:c r="H37" s="7" t="n">
        <x:f>'產能'!C2</x:f>
        <x:v>250</x:v>
      </x:c>
      <x:c r="I37" s="7" t="n">
        <x:v>0</x:v>
      </x:c>
      <x:c r="J37" s="7" t="n">
        <x:f>H37+I37</x:f>
        <x:v>250</x:v>
      </x:c>
      <x:c r="K37" s="7" t="n">
        <x:f>J37-G37</x:f>
        <x:v>250</x:v>
      </x:c>
      <x:c r="L37" s="7" t="n">
        <x:f>IF(F37&gt;0,2,0)</x:f>
        <x:v>0</x:v>
      </x:c>
    </x:row>
    <x:row r="38" ht="30" customHeight="1">
      <x:c r="A38" s="12" t="n">
        <x:v>46297</x:v>
      </x:c>
      <x:c r="B38" s="7" t="str">
        <x:v>CNC-01</x:v>
      </x:c>
      <x:c r="C38" s="7" t="str"/>
      <x:c r="D38" s="7" t="n">
        <x:v>0</x:v>
      </x:c>
      <x:c r="E38" s="7" t="n">
        <x:v>0</x:v>
      </x:c>
      <x:c r="F38" s="7" t="n">
        <x:v>0</x:v>
      </x:c>
      <x:c r="G38" s="7" t="n">
        <x:f>SUM(D38:F38)</x:f>
        <x:v>0</x:v>
      </x:c>
      <x:c r="H38" s="7" t="n">
        <x:f>'產能'!C2</x:f>
        <x:v>250</x:v>
      </x:c>
      <x:c r="I38" s="7" t="n">
        <x:v>0</x:v>
      </x:c>
      <x:c r="J38" s="7" t="n">
        <x:f>H38+I38</x:f>
        <x:v>250</x:v>
      </x:c>
      <x:c r="K38" s="7" t="n">
        <x:f>J38-G38</x:f>
        <x:v>250</x:v>
      </x:c>
      <x:c r="L38" s="7" t="n">
        <x:f>IF(F38&gt;0,2,0)</x:f>
        <x:v>0</x:v>
      </x:c>
    </x:row>
    <x:row r="39" ht="30" customHeight="1">
      <x:c r="A39" s="12" t="n">
        <x:v>46297</x:v>
      </x:c>
      <x:c r="B39" s="7" t="str">
        <x:v>CNC-02</x:v>
      </x:c>
      <x:c r="C39" s="7" t="str"/>
      <x:c r="D39" s="7" t="n">
        <x:v>0</x:v>
      </x:c>
      <x:c r="E39" s="7" t="n">
        <x:v>0</x:v>
      </x:c>
      <x:c r="F39" s="7" t="n">
        <x:v>0</x:v>
      </x:c>
      <x:c r="G39" s="7" t="n">
        <x:f>SUM(D39:F39)</x:f>
        <x:v>0</x:v>
      </x:c>
      <x:c r="H39" s="7" t="n">
        <x:f>'產能'!C2</x:f>
        <x:v>250</x:v>
      </x:c>
      <x:c r="I39" s="7" t="n">
        <x:v>0</x:v>
      </x:c>
      <x:c r="J39" s="7" t="n">
        <x:f>H39+I39</x:f>
        <x:v>250</x:v>
      </x:c>
      <x:c r="K39" s="7" t="n">
        <x:f>J39-G39</x:f>
        <x:v>250</x:v>
      </x:c>
      <x:c r="L39" s="7" t="n">
        <x:f>IF(F39&gt;0,2,0)</x:f>
        <x:v>0</x:v>
      </x:c>
    </x:row>
    <x:row r="40" ht="30" customHeight="1">
      <x:c r="A40" s="12" t="n">
        <x:v>46297</x:v>
      </x:c>
      <x:c r="B40" s="7" t="str">
        <x:v>CNC-03</x:v>
      </x:c>
      <x:c r="C40" s="7" t="str"/>
      <x:c r="D40" s="7" t="n">
        <x:v>0</x:v>
      </x:c>
      <x:c r="E40" s="7" t="n">
        <x:v>0</x:v>
      </x:c>
      <x:c r="F40" s="7" t="n">
        <x:v>0</x:v>
      </x:c>
      <x:c r="G40" s="7" t="n">
        <x:f>SUM(D40:F40)</x:f>
        <x:v>0</x:v>
      </x:c>
      <x:c r="H40" s="7" t="n">
        <x:f>'產能'!C2</x:f>
        <x:v>250</x:v>
      </x:c>
      <x:c r="I40" s="7" t="n">
        <x:v>0</x:v>
      </x:c>
      <x:c r="J40" s="7" t="n">
        <x:f>H40+I40</x:f>
        <x:v>250</x:v>
      </x:c>
      <x:c r="K40" s="7" t="n">
        <x:f>J40-G40</x:f>
        <x:v>250</x:v>
      </x:c>
      <x:c r="L40" s="7" t="n">
        <x:f>IF(F40&gt;0,2,0)</x:f>
        <x:v>0</x:v>
      </x:c>
    </x:row>
    <x:row r="41" ht="30" customHeight="1">
      <x:c r="A41" s="12" t="n">
        <x:v>46300</x:v>
      </x:c>
      <x:c r="B41" s="7" t="str">
        <x:v>CNC-01</x:v>
      </x:c>
      <x:c r="C41" s="7" t="str"/>
      <x:c r="D41" s="7" t="n">
        <x:v>0</x:v>
      </x:c>
      <x:c r="E41" s="7" t="n">
        <x:v>0</x:v>
      </x:c>
      <x:c r="F41" s="7" t="n">
        <x:v>0</x:v>
      </x:c>
      <x:c r="G41" s="7" t="n">
        <x:f>SUM(D41:F41)</x:f>
        <x:v>0</x:v>
      </x:c>
      <x:c r="H41" s="7" t="n">
        <x:f>'產能'!C2</x:f>
        <x:v>250</x:v>
      </x:c>
      <x:c r="I41" s="7" t="n">
        <x:v>0</x:v>
      </x:c>
      <x:c r="J41" s="7" t="n">
        <x:f>H41+I41</x:f>
        <x:v>250</x:v>
      </x:c>
      <x:c r="K41" s="7" t="n">
        <x:f>J41-G41</x:f>
        <x:v>250</x:v>
      </x:c>
      <x:c r="L41" s="7" t="n">
        <x:f>IF(F41&gt;0,2,0)</x:f>
        <x:v>0</x:v>
      </x:c>
    </x:row>
    <x:row r="42" ht="30" customHeight="1">
      <x:c r="A42" s="12" t="n">
        <x:v>46300</x:v>
      </x:c>
      <x:c r="B42" s="7" t="str">
        <x:v>CNC-02</x:v>
      </x:c>
      <x:c r="C42" s="7" t="str"/>
      <x:c r="D42" s="7" t="n">
        <x:v>0</x:v>
      </x:c>
      <x:c r="E42" s="7" t="n">
        <x:v>0</x:v>
      </x:c>
      <x:c r="F42" s="7" t="n">
        <x:v>0</x:v>
      </x:c>
      <x:c r="G42" s="7" t="n">
        <x:f>SUM(D42:F42)</x:f>
        <x:v>0</x:v>
      </x:c>
      <x:c r="H42" s="7" t="n">
        <x:f>'產能'!C2</x:f>
        <x:v>250</x:v>
      </x:c>
      <x:c r="I42" s="7" t="n">
        <x:v>0</x:v>
      </x:c>
      <x:c r="J42" s="7" t="n">
        <x:f>H42+I42</x:f>
        <x:v>250</x:v>
      </x:c>
      <x:c r="K42" s="7" t="n">
        <x:f>J42-G42</x:f>
        <x:v>250</x:v>
      </x:c>
      <x:c r="L42" s="7" t="n">
        <x:f>IF(F42&gt;0,2,0)</x:f>
        <x:v>0</x:v>
      </x:c>
    </x:row>
    <x:row r="43" ht="30" customHeight="1">
      <x:c r="A43" s="12" t="n">
        <x:v>46300</x:v>
      </x:c>
      <x:c r="B43" s="7" t="str">
        <x:v>CNC-03</x:v>
      </x:c>
      <x:c r="C43" s="7" t="str"/>
      <x:c r="D43" s="7" t="n">
        <x:v>0</x:v>
      </x:c>
      <x:c r="E43" s="7" t="n">
        <x:v>0</x:v>
      </x:c>
      <x:c r="F43" s="7" t="n">
        <x:v>0</x:v>
      </x:c>
      <x:c r="G43" s="7" t="n">
        <x:f>SUM(D43:F43)</x:f>
        <x:v>0</x:v>
      </x:c>
      <x:c r="H43" s="7" t="n">
        <x:f>'產能'!C2</x:f>
        <x:v>250</x:v>
      </x:c>
      <x:c r="I43" s="7" t="n">
        <x:v>0</x:v>
      </x:c>
      <x:c r="J43" s="7" t="n">
        <x:f>H43+I43</x:f>
        <x:v>250</x:v>
      </x:c>
      <x:c r="K43" s="7" t="n">
        <x:f>J43-G43</x:f>
        <x:v>250</x:v>
      </x:c>
      <x:c r="L43" s="7" t="n">
        <x:f>IF(F43&gt;0,2,0)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39" hidden="0" customWidth="1"/>
    <x:col min="8" max="8" width="47" hidden="0" customWidth="1"/>
  </x:cols>
  <x:sheetData>
    <x:row r="1" ht="38" customHeight="1">
      <x:c r="A1" s="14" t="str">
        <x:v>日期</x:v>
      </x:c>
      <x:c r="B1" s="14" t="str">
        <x:v>資源</x:v>
      </x:c>
      <x:c r="C1" s="14" t="str">
        <x:v>品號</x:v>
      </x:c>
      <x:c r="D1" s="14" t="str">
        <x:v>計畫件數</x:v>
      </x:c>
      <x:c r="E1" s="14" t="str">
        <x:v>資源日上限</x:v>
      </x:c>
      <x:c r="F1" s="14" t="str">
        <x:v>當日剩餘</x:v>
      </x:c>
      <x:c r="G1" s="14" t="str">
        <x:v>前置完成</x:v>
      </x:c>
      <x:c r="H1" s="14" t="str">
        <x:v>說明</x:v>
      </x:c>
    </x:row>
    <x:row r="2" ht="30" customHeight="1">
      <x:c r="A2" s="12" t="n">
        <x:v>46280</x:v>
      </x:c>
      <x:c r="B2" s="7" t="str">
        <x:v>內製電鍍</x:v>
      </x:c>
      <x:c r="C2" s="7" t="str">
        <x:v>SD-330</x:v>
      </x:c>
      <x:c r="D2" s="7" t="n">
        <x:v>200</x:v>
      </x:c>
      <x:c r="E2" s="7" t="n">
        <x:v>400</x:v>
      </x:c>
      <x:c r="F2" s="7" t="n">
        <x:f>E2-SUMIFS(D$2:D$80,A$2:A$80,A2,B$2:B$80,B2)</x:f>
        <x:v>200</x:v>
      </x:c>
      <x:c r="G2" s="7" t="str">
        <x:v>前一工作日 CNC 200 件完成</x:v>
      </x:c>
      <x:c r="H2" s="7" t="str">
        <x:v>分批加工；共1,000件</x:v>
      </x:c>
    </x:row>
    <x:row r="3" ht="30" customHeight="1">
      <x:c r="A3" s="12" t="n">
        <x:v>46281</x:v>
      </x:c>
      <x:c r="B3" s="7" t="str">
        <x:v>內製電鍍</x:v>
      </x:c>
      <x:c r="C3" s="7" t="str">
        <x:v>SD-330</x:v>
      </x:c>
      <x:c r="D3" s="7" t="n">
        <x:v>200</x:v>
      </x:c>
      <x:c r="E3" s="7" t="n">
        <x:v>400</x:v>
      </x:c>
      <x:c r="F3" s="7" t="n">
        <x:f>E3-SUMIFS(D$2:D$80,A$2:A$80,A3,B$2:B$80,B3)</x:f>
        <x:v>200</x:v>
      </x:c>
      <x:c r="G3" s="7" t="str">
        <x:v>前一工作日 CNC 200 件完成</x:v>
      </x:c>
      <x:c r="H3" s="7" t="str">
        <x:v>分批加工；共1,000件</x:v>
      </x:c>
    </x:row>
    <x:row r="4" ht="30" customHeight="1">
      <x:c r="A4" s="12" t="n">
        <x:v>46282</x:v>
      </x:c>
      <x:c r="B4" s="7" t="str">
        <x:v>內製電鍍</x:v>
      </x:c>
      <x:c r="C4" s="7" t="str">
        <x:v>SD-330</x:v>
      </x:c>
      <x:c r="D4" s="7" t="n">
        <x:v>200</x:v>
      </x:c>
      <x:c r="E4" s="7" t="n">
        <x:v>400</x:v>
      </x:c>
      <x:c r="F4" s="7" t="n">
        <x:f>E4-SUMIFS(D$2:D$80,A$2:A$80,A4,B$2:B$80,B4)</x:f>
        <x:v>200</x:v>
      </x:c>
      <x:c r="G4" s="7" t="str">
        <x:v>前一工作日 CNC 200 件完成</x:v>
      </x:c>
      <x:c r="H4" s="7" t="str">
        <x:v>分批加工；共1,000件</x:v>
      </x:c>
    </x:row>
    <x:row r="5" ht="30" customHeight="1">
      <x:c r="A5" s="12" t="n">
        <x:v>46283</x:v>
      </x:c>
      <x:c r="B5" s="7" t="str">
        <x:v>內製電鍍</x:v>
      </x:c>
      <x:c r="C5" s="7" t="str">
        <x:v>SD-330</x:v>
      </x:c>
      <x:c r="D5" s="7" t="n">
        <x:v>200</x:v>
      </x:c>
      <x:c r="E5" s="7" t="n">
        <x:v>400</x:v>
      </x:c>
      <x:c r="F5" s="7" t="n">
        <x:f>E5-SUMIFS(D$2:D$80,A$2:A$80,A5,B$2:B$80,B5)</x:f>
        <x:v>200</x:v>
      </x:c>
      <x:c r="G5" s="7" t="str">
        <x:v>前一工作日 CNC 200 件完成</x:v>
      </x:c>
      <x:c r="H5" s="7" t="str">
        <x:v>分批加工；共1,000件</x:v>
      </x:c>
    </x:row>
    <x:row r="6" ht="30" customHeight="1">
      <x:c r="A6" s="12" t="n">
        <x:v>46286</x:v>
      </x:c>
      <x:c r="B6" s="7" t="str">
        <x:v>內製電鍍</x:v>
      </x:c>
      <x:c r="C6" s="7" t="str">
        <x:v>SD-330</x:v>
      </x:c>
      <x:c r="D6" s="7" t="n">
        <x:v>200</x:v>
      </x:c>
      <x:c r="E6" s="7" t="n">
        <x:v>400</x:v>
      </x:c>
      <x:c r="F6" s="7" t="n">
        <x:f>E6-SUMIFS(D$2:D$80,A$2:A$80,A6,B$2:B$80,B6)</x:f>
        <x:v>200</x:v>
      </x:c>
      <x:c r="G6" s="7" t="str">
        <x:v>前一工作日 CNC 200 件完成</x:v>
      </x:c>
      <x:c r="H6" s="7" t="str">
        <x:v>分批加工；共1,000件</x:v>
      </x:c>
    </x:row>
    <x:row r="7" ht="30" customHeight="1">
      <x:c r="A7" s="12" t="n">
        <x:v>46287</x:v>
      </x:c>
      <x:c r="B7" s="7" t="str">
        <x:v>內製電鍍</x:v>
      </x:c>
      <x:c r="C7" s="7" t="str">
        <x:v>HD-750</x:v>
      </x:c>
      <x:c r="D7" s="7" t="n">
        <x:v>400</x:v>
      </x:c>
      <x:c r="E7" s="7" t="n">
        <x:v>400</x:v>
      </x:c>
      <x:c r="F7" s="7" t="n">
        <x:f>E7-SUMIFS(D$2:D$80,A$2:A$80,A7,B$2:B$80,B7)</x:f>
        <x:v>0</x:v>
      </x:c>
      <x:c r="G7" s="7" t="str">
        <x:v>9/11以前已完成的在製品</x:v>
      </x:c>
      <x:c r="H7" s="7" t="str">
        <x:v>共3,200件；不再占本期CNC或原料</x:v>
      </x:c>
    </x:row>
    <x:row r="8" ht="30" customHeight="1">
      <x:c r="A8" s="12" t="n">
        <x:v>46288</x:v>
      </x:c>
      <x:c r="B8" s="7" t="str">
        <x:v>內製電鍍</x:v>
      </x:c>
      <x:c r="C8" s="7" t="str">
        <x:v>HD-750</x:v>
      </x:c>
      <x:c r="D8" s="7" t="n">
        <x:v>400</x:v>
      </x:c>
      <x:c r="E8" s="7" t="n">
        <x:v>400</x:v>
      </x:c>
      <x:c r="F8" s="7" t="n">
        <x:f>E8-SUMIFS(D$2:D$80,A$2:A$80,A8,B$2:B$80,B8)</x:f>
        <x:v>0</x:v>
      </x:c>
      <x:c r="G8" s="7" t="str">
        <x:v>9/11以前已完成的在製品</x:v>
      </x:c>
      <x:c r="H8" s="7" t="str">
        <x:v>共3,200件；不再占本期CNC或原料</x:v>
      </x:c>
    </x:row>
    <x:row r="9" ht="30" customHeight="1">
      <x:c r="A9" s="12" t="n">
        <x:v>46289</x:v>
      </x:c>
      <x:c r="B9" s="7" t="str">
        <x:v>內製電鍍</x:v>
      </x:c>
      <x:c r="C9" s="7" t="str">
        <x:v>HD-750</x:v>
      </x:c>
      <x:c r="D9" s="7" t="n">
        <x:v>400</x:v>
      </x:c>
      <x:c r="E9" s="7" t="n">
        <x:v>400</x:v>
      </x:c>
      <x:c r="F9" s="7" t="n">
        <x:f>E9-SUMIFS(D$2:D$80,A$2:A$80,A9,B$2:B$80,B9)</x:f>
        <x:v>0</x:v>
      </x:c>
      <x:c r="G9" s="7" t="str">
        <x:v>9/11以前已完成的在製品</x:v>
      </x:c>
      <x:c r="H9" s="7" t="str">
        <x:v>共3,200件；不再占本期CNC或原料</x:v>
      </x:c>
    </x:row>
    <x:row r="10" ht="30" customHeight="1">
      <x:c r="A10" s="12" t="n">
        <x:v>46294</x:v>
      </x:c>
      <x:c r="B10" s="7" t="str">
        <x:v>內製電鍍</x:v>
      </x:c>
      <x:c r="C10" s="7" t="str">
        <x:v>HD-750</x:v>
      </x:c>
      <x:c r="D10" s="7" t="n">
        <x:v>400</x:v>
      </x:c>
      <x:c r="E10" s="7" t="n">
        <x:v>400</x:v>
      </x:c>
      <x:c r="F10" s="7" t="n">
        <x:f>E10-SUMIFS(D$2:D$80,A$2:A$80,A10,B$2:B$80,B10)</x:f>
        <x:v>0</x:v>
      </x:c>
      <x:c r="G10" s="7" t="str">
        <x:v>9/11以前已完成的在製品</x:v>
      </x:c>
      <x:c r="H10" s="7" t="str">
        <x:v>共3,200件；不再占本期CNC或原料</x:v>
      </x:c>
    </x:row>
    <x:row r="11" ht="30" customHeight="1">
      <x:c r="A11" s="12" t="n">
        <x:v>46295</x:v>
      </x:c>
      <x:c r="B11" s="7" t="str">
        <x:v>內製電鍍</x:v>
      </x:c>
      <x:c r="C11" s="7" t="str">
        <x:v>HD-750</x:v>
      </x:c>
      <x:c r="D11" s="7" t="n">
        <x:v>400</x:v>
      </x:c>
      <x:c r="E11" s="7" t="n">
        <x:v>400</x:v>
      </x:c>
      <x:c r="F11" s="7" t="n">
        <x:f>E11-SUMIFS(D$2:D$80,A$2:A$80,A11,B$2:B$80,B11)</x:f>
        <x:v>0</x:v>
      </x:c>
      <x:c r="G11" s="7" t="str">
        <x:v>9/11以前已完成的在製品</x:v>
      </x:c>
      <x:c r="H11" s="7" t="str">
        <x:v>共3,200件；不再占本期CNC或原料</x:v>
      </x:c>
    </x:row>
    <x:row r="12" ht="30" customHeight="1">
      <x:c r="A12" s="12" t="n">
        <x:v>46296</x:v>
      </x:c>
      <x:c r="B12" s="7" t="str">
        <x:v>內製電鍍</x:v>
      </x:c>
      <x:c r="C12" s="7" t="str">
        <x:v>HD-750</x:v>
      </x:c>
      <x:c r="D12" s="7" t="n">
        <x:v>400</x:v>
      </x:c>
      <x:c r="E12" s="7" t="n">
        <x:v>400</x:v>
      </x:c>
      <x:c r="F12" s="7" t="n">
        <x:f>E12-SUMIFS(D$2:D$80,A$2:A$80,A12,B$2:B$80,B12)</x:f>
        <x:v>0</x:v>
      </x:c>
      <x:c r="G12" s="7" t="str">
        <x:v>9/11以前已完成的在製品</x:v>
      </x:c>
      <x:c r="H12" s="7" t="str">
        <x:v>共3,200件；不再占本期CNC或原料</x:v>
      </x:c>
    </x:row>
    <x:row r="13" ht="30" customHeight="1">
      <x:c r="A13" s="12" t="n">
        <x:v>46297</x:v>
      </x:c>
      <x:c r="B13" s="7" t="str">
        <x:v>內製電鍍</x:v>
      </x:c>
      <x:c r="C13" s="7" t="str">
        <x:v>HD-750</x:v>
      </x:c>
      <x:c r="D13" s="7" t="n">
        <x:v>400</x:v>
      </x:c>
      <x:c r="E13" s="7" t="n">
        <x:v>400</x:v>
      </x:c>
      <x:c r="F13" s="7" t="n">
        <x:f>E13-SUMIFS(D$2:D$80,A$2:A$80,A13,B$2:B$80,B13)</x:f>
        <x:v>0</x:v>
      </x:c>
      <x:c r="G13" s="7" t="str">
        <x:v>9/11以前已完成的在製品</x:v>
      </x:c>
      <x:c r="H13" s="7" t="str">
        <x:v>共3,200件；不再占本期CNC或原料</x:v>
      </x:c>
    </x:row>
    <x:row r="14" ht="30" customHeight="1">
      <x:c r="A14" s="12" t="n">
        <x:v>46300</x:v>
      </x:c>
      <x:c r="B14" s="7" t="str">
        <x:v>內製電鍍</x:v>
      </x:c>
      <x:c r="C14" s="7" t="str">
        <x:v>HD-750</x:v>
      </x:c>
      <x:c r="D14" s="7" t="n">
        <x:v>400</x:v>
      </x:c>
      <x:c r="E14" s="7" t="n">
        <x:v>400</x:v>
      </x:c>
      <x:c r="F14" s="7" t="n">
        <x:f>E14-SUMIFS(D$2:D$80,A$2:A$80,A14,B$2:B$80,B14)</x:f>
        <x:v>0</x:v>
      </x:c>
      <x:c r="G14" s="7" t="str">
        <x:v>9/11以前已完成的在製品</x:v>
      </x:c>
      <x:c r="H14" s="7" t="str">
        <x:v>共3,200件；不再占本期CNC或原料</x:v>
      </x:c>
    </x:row>
    <x:row r="15" ht="30" customHeight="1">
      <x:c r="A15" s="12" t="n">
        <x:v>46286</x:v>
      </x:c>
      <x:c r="B15" s="7" t="str">
        <x:v>永光外包電鍍</x:v>
      </x:c>
      <x:c r="C15" s="7" t="str">
        <x:v>YF-2048</x:v>
      </x:c>
      <x:c r="D15" s="7" t="n">
        <x:v>1000</x:v>
      </x:c>
      <x:c r="E15" s="7" t="n">
        <x:v>1500</x:v>
      </x:c>
      <x:c r="F15" s="7" t="n">
        <x:f>E15-SUMIFS(D$2:D$80,A$2:A$80,A15,B$2:B$80,B15)</x:f>
        <x:v>500</x:v>
      </x:c>
      <x:c r="G15" s="7" t="str">
        <x:v>9/19整批3,000件送達</x:v>
      </x:c>
      <x:c r="H15" s="7" t="str">
        <x:v>專屬保留1,000件/日；整批9/23完成</x:v>
      </x:c>
    </x:row>
    <x:row r="16" ht="30" customHeight="1">
      <x:c r="A16" s="12" t="n">
        <x:v>46287</x:v>
      </x:c>
      <x:c r="B16" s="7" t="str">
        <x:v>永光外包電鍍</x:v>
      </x:c>
      <x:c r="C16" s="7" t="str">
        <x:v>YF-2048</x:v>
      </x:c>
      <x:c r="D16" s="7" t="n">
        <x:v>1000</x:v>
      </x:c>
      <x:c r="E16" s="7" t="n">
        <x:v>1500</x:v>
      </x:c>
      <x:c r="F16" s="7" t="n">
        <x:f>E16-SUMIFS(D$2:D$80,A$2:A$80,A16,B$2:B$80,B16)</x:f>
        <x:v>500</x:v>
      </x:c>
      <x:c r="G16" s="7" t="str">
        <x:v>9/19整批3,000件送達</x:v>
      </x:c>
      <x:c r="H16" s="7" t="str">
        <x:v>專屬保留1,000件/日；整批9/23完成</x:v>
      </x:c>
    </x:row>
    <x:row r="17" ht="30" customHeight="1">
      <x:c r="A17" s="12" t="n">
        <x:v>46288</x:v>
      </x:c>
      <x:c r="B17" s="7" t="str">
        <x:v>永光外包電鍍</x:v>
      </x:c>
      <x:c r="C17" s="7" t="str">
        <x:v>YF-2048</x:v>
      </x:c>
      <x:c r="D17" s="7" t="n">
        <x:v>1000</x:v>
      </x:c>
      <x:c r="E17" s="7" t="n">
        <x:v>1500</x:v>
      </x:c>
      <x:c r="F17" s="7" t="n">
        <x:f>E17-SUMIFS(D$2:D$80,A$2:A$80,A17,B$2:B$80,B17)</x:f>
        <x:v>500</x:v>
      </x:c>
      <x:c r="G17" s="7" t="str">
        <x:v>9/19整批3,000件送達</x:v>
      </x:c>
      <x:c r="H17" s="7" t="str">
        <x:v>專屬保留1,000件/日；整批9/23完成</x:v>
      </x:c>
    </x:row>
    <x:row r="18" ht="30" customHeight="1">
      <x:c r="A18" s="12" t="n">
        <x:v>46282</x:v>
      </x:c>
      <x:c r="B18" s="7" t="str">
        <x:v>檢驗包裝</x:v>
      </x:c>
      <x:c r="C18" s="7" t="str">
        <x:v>SD-331</x:v>
      </x:c>
      <x:c r="D18" s="7" t="n">
        <x:v>600</x:v>
      </x:c>
      <x:c r="E18" s="7" t="n">
        <x:v>2400</x:v>
      </x:c>
      <x:c r="F18" s="7" t="n">
        <x:f>E18-SUMIFS(D$2:D$80,A$2:A$80,A18,B$2:B$80,B18)</x:f>
        <x:v>1800</x:v>
      </x:c>
      <x:c r="G18" s="7" t="str">
        <x:v>9/16 CNC完成</x:v>
      </x:c>
      <x:c r="H18" s="7" t="str">
        <x:v>兩站合計2,400件/日；無品檢加班</x:v>
      </x:c>
    </x:row>
    <x:row r="19" ht="30" customHeight="1">
      <x:c r="A19" s="12" t="n">
        <x:v>46287</x:v>
      </x:c>
      <x:c r="B19" s="7" t="str">
        <x:v>檢驗包裝</x:v>
      </x:c>
      <x:c r="C19" s="7" t="str">
        <x:v>SD-330</x:v>
      </x:c>
      <x:c r="D19" s="7" t="n">
        <x:v>1000</x:v>
      </x:c>
      <x:c r="E19" s="7" t="n">
        <x:v>2400</x:v>
      </x:c>
      <x:c r="F19" s="7" t="n">
        <x:f>E19-SUMIFS(D$2:D$80,A$2:A$80,A19,B$2:B$80,B19)</x:f>
        <x:v>1400</x:v>
      </x:c>
      <x:c r="G19" s="7" t="str">
        <x:v>9/21電鍍完成</x:v>
      </x:c>
      <x:c r="H19" s="7" t="str">
        <x:v>兩站合計2,400件/日；無品檢加班</x:v>
      </x:c>
    </x:row>
    <x:row r="20" ht="30" customHeight="1">
      <x:c r="A20" s="12" t="n">
        <x:v>46289</x:v>
      </x:c>
      <x:c r="B20" s="7" t="str">
        <x:v>檢驗包裝</x:v>
      </x:c>
      <x:c r="C20" s="7" t="str">
        <x:v>YF-2048</x:v>
      </x:c>
      <x:c r="D20" s="7" t="n">
        <x:v>1500</x:v>
      </x:c>
      <x:c r="E20" s="7" t="n">
        <x:v>2100</x:v>
      </x:c>
      <x:c r="F20" s="7" t="n">
        <x:f>E20-SUMIFS(D$2:D$80,A$2:A$80,A20,B$2:B$80,B20)</x:f>
        <x:v>100</x:v>
      </x:c>
      <x:c r="G20" s="7" t="str">
        <x:v>9/24 09:00回廠，10:00開始</x:v>
      </x:c>
      <x:c r="H20" s="7" t="str">
        <x:v>10:00–18:00彈性常班，午休1小時，有效7小時×300件；不加班</x:v>
      </x:c>
    </x:row>
    <x:row r="21" ht="30" customHeight="1">
      <x:c r="A21" s="12" t="n">
        <x:v>46289</x:v>
      </x:c>
      <x:c r="B21" s="7" t="str">
        <x:v>檢驗包裝</x:v>
      </x:c>
      <x:c r="C21" s="7" t="str">
        <x:v>HD-770</x:v>
      </x:c>
      <x:c r="D21" s="7" t="n">
        <x:v>500</x:v>
      </x:c>
      <x:c r="E21" s="7" t="n">
        <x:v>2100</x:v>
      </x:c>
      <x:c r="F21" s="7" t="n">
        <x:f>E21-SUMIFS(D$2:D$80,A$2:A$80,A21,B$2:B$80,B21)</x:f>
        <x:v>100</x:v>
      </x:c>
      <x:c r="G21" s="7" t="str">
        <x:v>9/23 CNC完成</x:v>
      </x:c>
      <x:c r="H21" s="7" t="str">
        <x:v>10:00–18:00彈性常班，午休1小時，有效7小時×300件；不加班</x:v>
      </x:c>
    </x:row>
    <x:row r="22" ht="30" customHeight="1">
      <x:c r="A22" s="12" t="n">
        <x:v>46290</x:v>
      </x:c>
      <x:c r="B22" s="7" t="str">
        <x:v>檢驗包裝</x:v>
      </x:c>
      <x:c r="C22" s="7" t="str">
        <x:v>YF-2048</x:v>
      </x:c>
      <x:c r="D22" s="7" t="n">
        <x:v>1500</x:v>
      </x:c>
      <x:c r="E22" s="7" t="n">
        <x:v>1500</x:v>
      </x:c>
      <x:c r="F22" s="7" t="n">
        <x:f>E22-SUMIFS(D$2:D$80,A$2:A$80,A22,B$2:B$80,B22)</x:f>
        <x:v>0</x:v>
      </x:c>
      <x:c r="G22" s="7" t="str">
        <x:v>9/24回廠，剩餘批次</x:v>
      </x:c>
      <x:c r="H22" s="7" t="str">
        <x:v>中秋節專案值班08:00–13:00，3人×5小時；增加成本4,800元</x:v>
      </x:c>
    </x:row>
    <x:row r="23" ht="30" customHeight="1">
      <x:c r="A23" s="12" t="n">
        <x:v>46294</x:v>
      </x:c>
      <x:c r="B23" s="7" t="str">
        <x:v>檢驗包裝</x:v>
      </x:c>
      <x:c r="C23" s="7" t="str">
        <x:v>DC-1120</x:v>
      </x:c>
      <x:c r="D23" s="7" t="n">
        <x:v>800</x:v>
      </x:c>
      <x:c r="E23" s="7" t="n">
        <x:v>2400</x:v>
      </x:c>
      <x:c r="F23" s="7" t="n">
        <x:f>E23-SUMIFS(D$2:D$80,A$2:A$80,A23,B$2:B$80,B23)</x:f>
        <x:v>1600</x:v>
      </x:c>
      <x:c r="G23" s="7" t="str">
        <x:v>9/24 CNC完成；連假後檢驗</x:v>
      </x:c>
      <x:c r="H23" s="7" t="str">
        <x:v>兩站合計2,400件/日；無品檢加班</x:v>
      </x:c>
    </x:row>
    <x:row r="24" ht="30" customHeight="1">
      <x:c r="A24" s="12" t="n">
        <x:v>46301</x:v>
      </x:c>
      <x:c r="B24" s="7" t="str">
        <x:v>檢驗包裝</x:v>
      </x:c>
      <x:c r="C24" s="7" t="str">
        <x:v>HD-750</x:v>
      </x:c>
      <x:c r="D24" s="7" t="n">
        <x:v>2400</x:v>
      </x:c>
      <x:c r="E24" s="7" t="n">
        <x:v>2400</x:v>
      </x:c>
      <x:c r="F24" s="7" t="n">
        <x:f>E24-SUMIFS(D$2:D$80,A$2:A$80,A24,B$2:B$80,B24)</x:f>
        <x:v>0</x:v>
      </x:c>
      <x:c r="G24" s="7" t="str">
        <x:v>10/5電鍍完成；分兩天檢驗</x:v>
      </x:c>
      <x:c r="H24" s="7" t="str">
        <x:v>兩站合計2,400件/日；無品檢加班</x:v>
      </x:c>
    </x:row>
    <x:row r="25" ht="30" customHeight="1">
      <x:c r="A25" s="12" t="n">
        <x:v>46302</x:v>
      </x:c>
      <x:c r="B25" s="7" t="str">
        <x:v>檢驗包裝</x:v>
      </x:c>
      <x:c r="C25" s="7" t="str">
        <x:v>HD-750</x:v>
      </x:c>
      <x:c r="D25" s="7" t="n">
        <x:v>800</x:v>
      </x:c>
      <x:c r="E25" s="7" t="n">
        <x:v>2400</x:v>
      </x:c>
      <x:c r="F25" s="7" t="n">
        <x:f>E25-SUMIFS(D$2:D$80,A$2:A$80,A25,B$2:B$80,B25)</x:f>
        <x:v>1600</x:v>
      </x:c>
      <x:c r="G25" s="7" t="str">
        <x:v>10/5電鍍完成；分兩天檢驗</x:v>
      </x:c>
      <x:c r="H25" s="7" t="str">
        <x:v>兩站合計2,400件/日；無品檢加班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12" hidden="0" customWidth="1"/>
    <x:col min="6" max="6" width="14" hidden="0" customWidth="1"/>
    <x:col min="7" max="7" width="60" hidden="0" customWidth="1"/>
  </x:cols>
  <x:sheetData>
    <x:row r="1" ht="38" customHeight="1">
      <x:c r="A1" s="14" t="str">
        <x:v>品號</x:v>
      </x:c>
      <x:c r="B1" s="14" t="str">
        <x:v>階段</x:v>
      </x:c>
      <x:c r="C1" s="14" t="str">
        <x:v>日期</x:v>
      </x:c>
      <x:c r="D1" s="14" t="str">
        <x:v>時間</x:v>
      </x:c>
      <x:c r="E1" s="14" t="str">
        <x:v>件數</x:v>
      </x:c>
      <x:c r="F1" s="14" t="str">
        <x:v>最遲目標</x:v>
      </x:c>
      <x:c r="G1" s="14" t="str">
        <x:v>說明</x:v>
      </x:c>
    </x:row>
    <x:row r="2" ht="30" customHeight="1">
      <x:c r="A2" s="7" t="str">
        <x:v>SD-331</x:v>
      </x:c>
      <x:c r="B2" s="7" t="str">
        <x:v>檢驗後出貨</x:v>
      </x:c>
      <x:c r="C2" s="12" t="n">
        <x:v>46283</x:v>
      </x:c>
      <x:c r="D2" s="7" t="str">
        <x:v>09:00–12:00</x:v>
      </x:c>
      <x:c r="E2" s="7" t="n">
        <x:v>600</x:v>
      </x:c>
      <x:c r="F2" s="12" t="n">
        <x:v>46283</x:v>
      </x:c>
      <x:c r="G2" s="7" t="str">
        <x:v>既有單正常運輸成本已含</x:v>
      </x:c>
    </x:row>
    <x:row r="3" ht="30" customHeight="1">
      <x:c r="A3" s="7" t="str">
        <x:v>SD-330</x:v>
      </x:c>
      <x:c r="B3" s="7" t="str">
        <x:v>檢驗後出貨</x:v>
      </x:c>
      <x:c r="C3" s="12" t="n">
        <x:v>46288</x:v>
      </x:c>
      <x:c r="D3" s="7" t="str">
        <x:v>09:00–12:00</x:v>
      </x:c>
      <x:c r="E3" s="7" t="n">
        <x:v>1000</x:v>
      </x:c>
      <x:c r="F3" s="12" t="n">
        <x:v>46288</x:v>
      </x:c>
      <x:c r="G3" s="7" t="str">
        <x:v>既有單正常運輸成本已含</x:v>
      </x:c>
    </x:row>
    <x:row r="4" ht="30" customHeight="1">
      <x:c r="A4" s="7" t="str">
        <x:v>YF-2048</x:v>
      </x:c>
      <x:c r="B4" s="7" t="str">
        <x:v>專車送永光</x:v>
      </x:c>
      <x:c r="C4" s="12" t="n">
        <x:v>46284</x:v>
      </x:c>
      <x:c r="D4" s="7" t="str">
        <x:v>09:00–10:00</x:v>
      </x:c>
      <x:c r="E4" s="7" t="n">
        <x:v>3000</x:v>
      </x:c>
      <x:c r="F4" s="12" t="n">
        <x:v>46284</x:v>
      </x:c>
      <x:c r="G4" s="7" t="str">
        <x:v>9/18 17:00 CNC完成；週六僅收件</x:v>
      </x:c>
    </x:row>
    <x:row r="5" ht="30" customHeight="1">
      <x:c r="A5" s="7" t="str">
        <x:v>YF-2048</x:v>
      </x:c>
      <x:c r="B5" s="7" t="str">
        <x:v>專車回廠</x:v>
      </x:c>
      <x:c r="C5" s="12" t="n">
        <x:v>46289</x:v>
      </x:c>
      <x:c r="D5" s="7" t="str">
        <x:v>08:00–09:00</x:v>
      </x:c>
      <x:c r="E5" s="7" t="n">
        <x:v>3000</x:v>
      </x:c>
      <x:c r="F5" s="12" t="n">
        <x:v>46289</x:v>
      </x:c>
      <x:c r="G5" s="7" t="str">
        <x:v>9/23 17:00外包完成；10:00開始檢驗</x:v>
      </x:c>
    </x:row>
    <x:row r="6" ht="30" customHeight="1">
      <x:c r="A6" s="7" t="str">
        <x:v>YF-2048</x:v>
      </x:c>
      <x:c r="B6" s="7" t="str">
        <x:v>專車送客戶</x:v>
      </x:c>
      <x:c r="C6" s="12" t="n">
        <x:v>46291</x:v>
      </x:c>
      <x:c r="D6" s="7" t="str">
        <x:v>09:00–12:00</x:v>
      </x:c>
      <x:c r="E6" s="7" t="n">
        <x:v>3000</x:v>
      </x:c>
      <x:c r="F6" s="12" t="n">
        <x:v>46291</x:v>
      </x:c>
      <x:c r="G6" s="7" t="str">
        <x:v>9/25檢验完成；客戶須確認週六收貨</x:v>
      </x:c>
    </x:row>
    <x:row r="7" ht="30" customHeight="1">
      <x:c r="A7" s="7" t="str">
        <x:v>HD-770</x:v>
      </x:c>
      <x:c r="B7" s="7" t="str">
        <x:v>檢驗後出貨</x:v>
      </x:c>
      <x:c r="C7" s="12" t="n">
        <x:v>46294</x:v>
      </x:c>
      <x:c r="D7" s="7" t="str">
        <x:v>09:00–12:00</x:v>
      </x:c>
      <x:c r="E7" s="7" t="n">
        <x:v>500</x:v>
      </x:c>
      <x:c r="F7" s="12" t="n">
        <x:v>46294</x:v>
      </x:c>
      <x:c r="G7" s="7" t="str">
        <x:v>9/24檢驗完成；連假後交付</x:v>
      </x:c>
    </x:row>
    <x:row r="8" ht="30" customHeight="1">
      <x:c r="A8" s="7" t="str">
        <x:v>DC-1120</x:v>
      </x:c>
      <x:c r="B8" s="7" t="str">
        <x:v>檢驗後出貨</x:v>
      </x:c>
      <x:c r="C8" s="12" t="n">
        <x:v>46295</x:v>
      </x:c>
      <x:c r="D8" s="7" t="str">
        <x:v>09:00–12:00</x:v>
      </x:c>
      <x:c r="E8" s="7" t="n">
        <x:v>800</x:v>
      </x:c>
      <x:c r="F8" s="12" t="n">
        <x:v>46295</x:v>
      </x:c>
      <x:c r="G8" s="7" t="str">
        <x:v>9/29檢驗完成；9/30到貨</x:v>
      </x:c>
    </x:row>
    <x:row r="9" ht="30" customHeight="1">
      <x:c r="A9" s="7" t="str">
        <x:v>HD-750</x:v>
      </x:c>
      <x:c r="B9" s="7" t="str">
        <x:v>檢驗後出貨</x:v>
      </x:c>
      <x:c r="C9" s="12" t="n">
        <x:v>46303</x:v>
      </x:c>
      <x:c r="D9" s="7" t="str">
        <x:v>09:00–12:00</x:v>
      </x:c>
      <x:c r="E9" s="7" t="n">
        <x:v>3200</x:v>
      </x:c>
      <x:c r="F9" s="12" t="n">
        <x:v>46303</x:v>
      </x:c>
      <x:c r="G9" s="7" t="str">
        <x:v>10/7檢驗完成；10/8到貨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98" hidden="0" customWidth="1"/>
  </x:cols>
  <x:sheetData>
    <x:row r="1" ht="45" customHeight="1">
      <x:c r="A1" s="14" t="str">
        <x:v>項目</x:v>
      </x:c>
      <x:c r="B1" s="14" t="str">
        <x:v>數值或條件</x:v>
      </x:c>
      <x:c r="C1" s="14" t="str">
        <x:v>口徑</x:v>
      </x:c>
    </x:row>
    <x:row r="2" ht="45" customHeight="1">
      <x:c r="A2" s="7" t="str">
        <x:v>版本</x:v>
      </x:c>
      <x:c r="B2" s="7" t="str">
        <x:v>FANYA20260912V2</x:v>
      </x:c>
      <x:c r="C2" s="7" t="str">
        <x:v>全為虛構示範；本表為待核准的接單方案</x:v>
      </x:c>
    </x:row>
    <x:row r="3" ht="45" customHeight="1">
      <x:c r="A3" s="7" t="str">
        <x:v>接單條件</x:v>
      </x:c>
      <x:c r="B3" s="7" t="str">
        <x:v>條件式可接</x:v>
      </x:c>
      <x:c r="C3" s="7" t="str">
        <x:v>9/11確認補料、加班、外包時段、週六物流及8%加急費、9/25品檢假日值班與增量費用</x:v>
      </x:c>
    </x:row>
    <x:row r="4" ht="45" customHeight="1">
      <x:c r="A4" s="7" t="str">
        <x:v>正常CNC能力</x:v>
      </x:c>
      <x:c r="B4" s="7" t="n">
        <x:v>250</x:v>
      </x:c>
      <x:c r="C4" s="7" t="str">
        <x:v>每台8小時/日；所有本例品項採相同有效節拍1.92分鐘/件</x:v>
      </x:c>
    </x:row>
    <x:row r="5" ht="45" customHeight="1">
      <x:c r="A5" s="7" t="str">
        <x:v>加班CNC能力</x:v>
      </x:c>
      <x:c r="B5" s="7" t="n">
        <x:v>60</x:v>
      </x:c>
      <x:c r="C5" s="7" t="str">
        <x:v>每台2小時；換線準備扣除後有效30件/小時</x:v>
      </x:c>
    </x:row>
    <x:row r="6" ht="45" customHeight="1">
      <x:c r="A6" s="7" t="str">
        <x:v>正常空檔</x:v>
      </x:c>
      <x:c r="B6" s="7" t="n">
        <x:v>2150</x:v>
      </x:c>
      <x:c r="C6" s="7" t="str">
        <x:v>9/14–18三台3,750件容量−既有1,600件；距3,000件少850</x:v>
      </x:c>
    </x:row>
    <x:row r="7" ht="45" customHeight="1">
      <x:c r="A7" s="7" t="str">
        <x:v>方案加班</x:v>
      </x:c>
      <x:c r="B7" s="7" t="n">
        <x:v>900</x:v>
      </x:c>
      <x:c r="C7" s="7" t="str">
        <x:v>3台×60件×5天；實際常班2,100件+加班900件</x:v>
      </x:c>
    </x:row>
    <x:row r="8" ht="45" customHeight="1">
      <x:c r="A8" s="7" t="str">
        <x:v>人力缺席</x:v>
      </x:c>
      <x:c r="B8" s="7" t="str">
        <x:v>9/21–25</x:v>
      </x:c>
      <x:c r="C8" s="7" t="str">
        <x:v>輔助員阿明請假；CNC-02常班能力由250降150件/日</x:v>
      </x:c>
    </x:row>
    <x:row r="9" ht="45" customHeight="1">
      <x:c r="A9" s="7" t="str">
        <x:v>內製瓶頸</x:v>
      </x:c>
      <x:c r="B9" s="7" t="str">
        <x:v>9/22起滿載</x:v>
      </x:c>
      <x:c r="C9" s="7" t="str">
        <x:v>9/21空200件，但整批3,000件內製無法在9/26前完成</x:v>
      </x:c>
    </x:row>
    <x:row r="10" ht="45" customHeight="1">
      <x:c r="A10" s="7" t="str">
        <x:v>檢驗能力</x:v>
      </x:c>
      <x:c r="B10" s="7" t="n">
        <x:v>2400</x:v>
      </x:c>
      <x:c r="C10" s="7" t="str">
        <x:v>兩站各1,200件/日；2位檢驗員+1位包裝員，8小時</x:v>
      </x:c>
    </x:row>
    <x:row r="11" ht="45" customHeight="1">
      <x:c r="A11" s="7" t="str">
        <x:v>週末</x:v>
      </x:c>
      <x:c r="B11" s="7" t="str">
        <x:v>生產停工</x:v>
      </x:c>
      <x:c r="C11" s="7" t="str">
        <x:v>9/19倉庫收件已含外包價；9/26客戶收貨待確認；三趟物流1,800含假日司機費</x:v>
      </x:c>
    </x:row>
    <x:row r="12" ht="45" customHeight="1">
      <x:c r="A12" s="7" t="str">
        <x:v>工作日</x:v>
      </x:c>
      <x:c r="B12" s="7" t="str">
        <x:v>依2026官方日曆</x:v>
      </x:c>
      <x:c r="C12" s="7" t="str">
        <x:v>9/25–28停工；例外僅9/25急單品檢5小時，假日增量4,800元須事前確認</x:v>
      </x:c>
    </x:row>
    <x:row r="13" ht="45" customHeight="1">
      <x:c r="A13" s="7" t="str">
        <x:v>HD-750在製品</x:v>
      </x:c>
      <x:c r="B13" s="7" t="n">
        <x:v>3200</x:v>
      </x:c>
      <x:c r="C13" s="7" t="str">
        <x:v>9/11前CNC完成；原料480kg已領用，不包含在9/14原料期初庫存</x:v>
      </x:c>
    </x:row>
    <x:row r="14" ht="45" customHeight="1">
      <x:c r="A14" s="7" t="str">
        <x:v>客訴補件</x:v>
      </x:c>
      <x:c r="B14" s="7" t="n">
        <x:v>3</x:v>
      </x:c>
      <x:c r="C14" s="7" t="str">
        <x:v>9/15出貨；從既有合格成品5件取用，無新增CNC或原料需求</x:v>
      </x:c>
    </x:row>
    <x:row r="15" ht="45" customHeight="1">
      <x:c r="A15" s="7" t="str">
        <x:v>流程</x:v>
      </x:c>
      <x:c r="B15" s="7" t="str">
        <x:v>CNC→必要電鍍→檢驗包裝→運輸</x:v>
      </x:c>
      <x:c r="C15" s="7" t="str">
        <x:v>只有YF-2048、SD-330、HD-750需電鍍；其餘免電鍍</x:v>
      </x:c>
    </x:row>
    <x:row r="16" ht="45" customHeight="1">
      <x:c r="A16" s="7" t="str">
        <x:v>損耗</x:v>
      </x:c>
      <x:c r="B16" s="7" t="str">
        <x:v>已含在BOM定額</x:v>
      </x:c>
      <x:c r="C16" s="7" t="str">
        <x:v>不另加良率損耗；假設加工量皆為合格數，異常須重估</x:v>
      </x:c>
    </x:row>
    <x:row r="17" ht="45" customHeight="1">
      <x:c r="A17" s="7" t="str">
        <x:v>資料口徑</x:v>
      </x:c>
      <x:c r="B17" s="7" t="str">
        <x:v>9/14 08:00庫存快照</x:v>
      </x:c>
      <x:c r="C17" s="7" t="str">
        <x:v>待核准採購當日到貨前；其他期前已結工單與客訴退貨不重扣原料</x:v>
      </x:c>
    </x:row>
    <x:row r="18" ht="45" customHeight="1">
      <x:c r="A18" s="7" t="str">
        <x:v>日曆來源</x:v>
      </x:c>
      <x:c r="B18" s="7" t="str">
        <x:v>行政院人事行政總處</x:v>
      </x:c>
      <x:c r="C18" s="7" t="str">
        <x:v>https://www.dgpa.gov.tw/information?pid=12685&amp;uid=55；9/25中秋、9/28教師節</x:v>
      </x:c>
    </x:row>
    <x:row r="19" ht="45" customHeight="1">
      <x:c r="A19" s="7" t="str">
        <x:v>9/24檢驗班</x:v>
      </x:c>
      <x:c r="B19" s="7" t="str">
        <x:v>10:00–18:00</x:v>
      </x:c>
      <x:c r="C19" s="7" t="str">
        <x:v>午休1小時，7有效小時可檢2,100件；YF1,500+HD770 500=2,000件</x:v>
      </x:c>
    </x:row>
    <x:row r="20" ht="45" customHeight="1">
      <x:c r="A20" s="7" t="str">
        <x:v>既有交期</x:v>
      </x:c>
      <x:c r="B20" s="7" t="str">
        <x:v>V2虛構承諾</x:v>
      </x:c>
      <x:c r="C20" s="7" t="str">
        <x:v>SD331 9/18、SD330 9/23、HD770 9/29、DC1120 9/30、HD750 10/8；皆為到貨日</x:v>
      </x:c>
    </x:row>
  </x:sheetData>
  <x:pageMargins left="0.7" right="0.7" top="0.75" bottom="0.75" header="0.3" footer="0.3"/>
</x:worksheet>
</file>